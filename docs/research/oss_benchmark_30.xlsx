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d533725975424c" /></Relationships>
</file>

<file path=xl/workbook.xml><?xml version="1.0" encoding="utf-8"?>
<x:workbook xmlns:x="http://schemas.openxmlformats.org/spreadsheetml/2006/main">
  <x:sheets>
    <x:sheet xmlns:r="http://schemas.openxmlformats.org/officeDocument/2006/relationships" name="Executive Summary" sheetId="1" r:id="R3cf88b95c2824a5b"/>
    <x:sheet xmlns:r="http://schemas.openxmlformats.org/officeDocument/2006/relationships" name="Projects" sheetId="2" r:id="R974efc20d9834f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7">
    <x:font>
      <x:sz val="11"/>
      <x:name val="Carlito"/>
    </x:font>
    <x:font>
      <x:b/>
      <x:sz val="16"/>
      <x:color rgb="FFFFFFFF"/>
      <x:name val="Carlito"/>
    </x:font>
    <x:font>
      <x:i/>
      <x:sz val="11"/>
      <x:color rgb="FF334155"/>
      <x:name val="Carlito"/>
    </x:font>
    <x:font>
      <x:b/>
      <x:sz val="11"/>
      <x:color rgb="FFFFFFFF"/>
      <x:name val="Carlito"/>
    </x:font>
    <x:font>
      <x:b/>
      <x:sz val="11"/>
      <x:color rgb="FF334155"/>
      <x:name val="Carlito"/>
    </x:font>
    <x:font>
      <x:sz val="11"/>
      <x:color rgb="FF134E4A"/>
      <x:name val="Carlito"/>
    </x:font>
    <x:font>
      <x:sz val="11"/>
      <x:color rgb="FF4C1D95"/>
      <x:name val="Carlito"/>
    </x:font>
  </x:fonts>
  <x:fills count="10">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2563EB"/>
      </x:patternFill>
    </x:fill>
    <x:fill>
      <x:patternFill patternType="solid">
        <x:fgColor rgb="FFF1F5F9"/>
      </x:patternFill>
    </x:fill>
    <x:fill>
      <x:patternFill patternType="solid">
        <x:fgColor rgb="FF0F766E"/>
      </x:patternFill>
    </x:fill>
    <x:fill>
      <x:patternFill patternType="solid">
        <x:fgColor rgb="FFECFDF5"/>
      </x:patternFill>
    </x:fill>
    <x:fill>
      <x:patternFill patternType="solid">
        <x:fgColor rgb="FF7C3AED"/>
      </x:patternFill>
    </x:fill>
    <x:fill>
      <x:patternFill patternType="solid">
        <x:fgColor rgb="FFF5F3FF"/>
      </x:patternFill>
    </x:fill>
  </x:fills>
  <x:borders count="10">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0" fillId="0"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4" fillId="5" borderId="3" xfId="0" applyNumberFormat="1" applyFont="1" applyFill="1" applyBorder="1"/>
    <x:xf numFmtId="200" fontId="0" fillId="0" borderId="4" xfId="0" applyNumberFormat="1" applyFont="1" applyFill="1" applyBorder="1"/>
    <x:xf numFmtId="0" fontId="4" fillId="5" borderId="5" xfId="0" applyNumberFormat="1" applyFont="1" applyFill="1" applyBorder="1"/>
    <x:xf numFmtId="200" fontId="0" fillId="0" borderId="6"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7" xfId="0" applyNumberFormat="1" applyFont="1" applyFill="1" applyBorder="1" applyAlignment="1">
      <x:alignment horizontal="right" vertical="top" wrapText="1"/>
    </x:xf>
    <x:xf numFmtId="0" fontId="0" fillId="0" borderId="8" xfId="0" applyNumberFormat="1" applyFont="1" applyFill="1" applyBorder="1" applyAlignment="1">
      <x:alignment horizontal="right" vertical="top" wrapText="1"/>
    </x:xf>
    <x:xf numFmtId="0" fontId="0" fillId="0" borderId="9" xfId="0" applyNumberFormat="1" applyFont="1" applyFill="1" applyBorder="1" applyAlignment="1">
      <x:alignment horizontal="right" vertical="top" wrapText="1"/>
    </x:xf>
    <x:xf numFmtId="0" fontId="0" fillId="0" borderId="7" xfId="0" applyNumberFormat="1" applyFont="1" applyFill="1" applyBorder="1" applyAlignment="1">
      <x:alignment horizontal="left" vertical="top" wrapText="1"/>
    </x:xf>
    <x:xf numFmtId="0" fontId="0" fillId="0" borderId="8" xfId="0" applyNumberFormat="1" applyFont="1" applyFill="1" applyBorder="1" applyAlignment="1">
      <x:alignment horizontal="left" vertical="top" wrapText="1"/>
    </x:xf>
    <x:xf numFmtId="0" fontId="0" fillId="0" borderId="9" xfId="0" applyNumberFormat="1" applyFont="1" applyFill="1" applyBorder="1" applyAlignment="1">
      <x:alignment horizontal="left" vertical="top" wrapText="1"/>
    </x:xf>
    <x:xf numFmtId="201" fontId="0" fillId="0" borderId="7"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200" fontId="0" fillId="0" borderId="7" xfId="0" applyNumberFormat="1" applyFont="1" applyFill="1" applyBorder="1" applyAlignment="1">
      <x:alignment horizontal="right" vertical="top" wrapText="1"/>
    </x:xf>
    <x:xf numFmtId="200" fontId="0" fillId="0" borderId="8" xfId="0" applyNumberFormat="1" applyFont="1" applyFill="1" applyBorder="1" applyAlignment="1">
      <x:alignment horizontal="right" vertical="top" wrapText="1"/>
    </x:xf>
    <x:xf numFmtId="200" fontId="0" fillId="0" borderId="9" xfId="0" applyNumberFormat="1" applyFont="1" applyFill="1" applyBorder="1" applyAlignment="1">
      <x:alignment horizontal="right" vertical="top" wrapText="1"/>
    </x:xf>
    <x:xf numFmtId="200" fontId="0" fillId="0" borderId="7"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2" fontId="0" fillId="0" borderId="7"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9" xfId="0" applyNumberFormat="1" applyFont="1" applyFill="1" applyBorder="1" applyAlignment="1">
      <x:alignment vertical="top" wrapText="1"/>
    </x:xf>
  </x:cellXfs>
  <x:cellStyles count="1">
    <x:cellStyle name="Normal" xfId="0"/>
  </x:cellStyles>
  <x:dxfs count="2">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30e362c48c4756" /><Relationship Type="http://schemas.openxmlformats.org/officeDocument/2006/relationships/theme" Target="/xl/theme/theme1.xml" Id="Rc5463adb3bf4409a" /><Relationship Type="http://schemas.openxmlformats.org/officeDocument/2006/relationships/sharedStrings" Target="/xl/sharedStrings.xml" Id="Re0d2cf0b036d4ea7" /><Relationship Type="http://schemas.openxmlformats.org/officeDocument/2006/relationships/worksheet" Target="/xl/worksheets/sheet1.xml" Id="R3cf88b95c2824a5b" /><Relationship Type="http://schemas.openxmlformats.org/officeDocument/2006/relationships/worksheet" Target="/xl/worksheets/sheet2.xml" Id="R974efc20d9834f7c" /></Relationships>
</file>

<file path=xl/tables/table1.xml><?xml version="1.0" encoding="utf-8"?>
<x:table xmlns:x="http://schemas.openxmlformats.org/spreadsheetml/2006/main" id="1" name="ProjectsTable" displayName="ProjectsTable" ref="A1:AF31" headerRowCount="1" totalsRowCount="0" totalsRowShown="0">
  <x:autoFilter ref="A1:AF31"/>
  <x:tableColumns count="32">
    <x:tableColumn id="1" name="Rank"/>
    <x:tableColumn id="2" name="Repository"/>
    <x:tableColumn id="3" name="Category"/>
    <x:tableColumn id="4" name="Stars"/>
    <x:tableColumn id="5" name="Forks"/>
    <x:tableColumn id="6" name="Stars per Year"/>
    <x:tableColumn id="7" name="Created"/>
    <x:tableColumn id="8" name="Last Push"/>
    <x:tableColumn id="9" name="Language"/>
    <x:tableColumn id="10" name="License"/>
    <x:tableColumn id="11" name="Releases"/>
    <x:tableColumn id="12" name="Latest Release"/>
    <x:tableColumn id="13" name="Activity"/>
    <x:tableColumn id="14" name="Archived"/>
    <x:tableColumn id="15" name="Open Issues"/>
    <x:tableColumn id="16" name="Open PRs"/>
    <x:tableColumn id="17" name="README Words"/>
    <x:tableColumn id="18" name="Images"/>
    <x:tableColumn id="19" name="Demo Signal"/>
    <x:tableColumn id="20" name="Install Section"/>
    <x:tableColumn id="21" name="Usage Section"/>
    <x:tableColumn id="22" name="Comparison Section"/>
    <x:tableColumn id="23" name="Benchmark Section"/>
    <x:tableColumn id="24" name="Contributing Section"/>
    <x:tableColumn id="25" name="Sponsor Signal"/>
    <x:tableColumn id="26" name="Package Manager Count"/>
    <x:tableColumn id="27" name="Relevance (1-5)"/>
    <x:tableColumn id="28" name="Primary Growth Loop"/>
    <x:tableColumn id="29" name="Key Lesson"/>
    <x:tableColumn id="30" name="ExecLocus Application"/>
    <x:tableColumn id="31" name="Caution"/>
    <x:tableColumn id="32"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957e536d7449a8" /></Relationships>
</file>

<file path=xl/worksheets/sheet1.xml><?xml version="1.0" encoding="utf-8"?>
<x:worksheet xmlns:x="http://schemas.openxmlformats.org/spreadsheetml/2006/main">
  <x:sheetViews>
    <x:sheetView showGridLines="0" workbookViewId="0"/>
  </x:sheetViews>
  <x:sheetFormatPr defaultRowHeight="15"/>
  <x:cols>
    <x:col min="1" max="1" width="25.8799991607666" hidden="0" customWidth="1"/>
    <x:col min="2" max="2" width="6"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 t="str">
        <x:v>ExecLocus OSS Benchmark — 30 Individual-Owned Projects</x:v>
      </x:c>
      <x:c r="B1" s="3" t="str">
        <x:v>ExecLocus OSS Benchmark — 30 Individual-Owned Projects</x:v>
      </x:c>
      <x:c r="C1" s="3" t="str">
        <x:v>ExecLocus OSS Benchmark — 30 Individual-Owned Projects</x:v>
      </x:c>
      <x:c r="D1" s="3" t="str">
        <x:v>ExecLocus OSS Benchmark — 30 Individual-Owned Projects</x:v>
      </x:c>
      <x:c r="E1" s="3" t="str">
        <x:v>ExecLocus OSS Benchmark — 30 Individual-Owned Projects</x:v>
      </x:c>
      <x:c r="F1" s="3" t="str">
        <x:v>ExecLocus OSS Benchmark — 30 Individual-Owned Projects</x:v>
      </x:c>
      <x:c r="G1" s="3" t="str">
        <x:v>ExecLocus OSS Benchmark — 30 Individual-Owned Projects</x:v>
      </x:c>
      <x:c r="H1" s="3" t="str">
        <x:v>ExecLocus OSS Benchmark — 30 Individual-Owned Projects</x:v>
      </x:c>
    </x:row>
    <x:row r="2">
      <x:c r="A2" s="5" t="str">
        <x:v>Snapshot: 2026-07-28 · Source: GitHub API and repository README files</x:v>
      </x:c>
      <x:c r="B2" s="5" t="str">
        <x:v>Snapshot: 2026-07-28 · Source: GitHub API and repository README files</x:v>
      </x:c>
      <x:c r="C2" s="5" t="str">
        <x:v>Snapshot: 2026-07-28 · Source: GitHub API and repository README files</x:v>
      </x:c>
      <x:c r="D2" s="5" t="str">
        <x:v>Snapshot: 2026-07-28 · Source: GitHub API and repository README files</x:v>
      </x:c>
      <x:c r="E2" s="5" t="str">
        <x:v>Snapshot: 2026-07-28 · Source: GitHub API and repository README files</x:v>
      </x:c>
      <x:c r="F2" s="5" t="str">
        <x:v>Snapshot: 2026-07-28 · Source: GitHub API and repository README files</x:v>
      </x:c>
      <x:c r="G2" s="5" t="str">
        <x:v>Snapshot: 2026-07-28 · Source: GitHub API and repository README files</x:v>
      </x:c>
      <x:c r="H2" s="5" t="str">
        <x:v>Snapshot: 2026-07-28 · Source: GitHub API and repository README files</x:v>
      </x:c>
    </x:row>
    <x:row r="4">
      <x:c r="A4" s="11" t="str">
        <x:v>Metric</x:v>
      </x:c>
      <x:c r="B4" s="12" t="str">
        <x:v>Value</x:v>
      </x:c>
      <x:c r="D4" s="18" t="str">
        <x:v>Observed patterns and implications</x:v>
      </x:c>
      <x:c r="E4" s="18" t="str">
        <x:v>Observed patterns and implications</x:v>
      </x:c>
      <x:c r="F4" s="18" t="str">
        <x:v>Observed patterns and implications</x:v>
      </x:c>
      <x:c r="G4" s="18" t="str">
        <x:v>Observed patterns and implications</x:v>
      </x:c>
      <x:c r="H4" s="18" t="str">
        <x:v>Observed patterns and implications</x:v>
      </x:c>
    </x:row>
    <x:row r="5" ht="28" customHeight="1">
      <x:c r="A5" s="13" t="str">
        <x:v>Projects</x:v>
      </x:c>
      <x:c r="B5" s="14" t="n">
        <x:f>COUNTA('Projects'!$B$2:$B$31)</x:f>
        <x:v>30</x:v>
      </x:c>
      <x:c r="D5" s="21" t="str">
        <x:v>1. Lead with one sentence and a 10-second terminal demo.</x:v>
      </x:c>
      <x:c r="E5" s="21"/>
      <x:c r="F5" s="21"/>
      <x:c r="G5" s="21"/>
      <x:c r="H5" s="21"/>
    </x:row>
    <x:row r="6" ht="28" customHeight="1">
      <x:c r="A6" s="13" t="str">
        <x:v>Total stars</x:v>
      </x:c>
      <x:c r="B6" s="14" t="n">
        <x:f>SUM('Projects'!$D$2:$D$31)</x:f>
        <x:v>782962</x:v>
      </x:c>
      <x:c r="D6" s="21" t="str">
        <x:v>2. Treat Windows, WSL, PowerShell, and Bash as first-class documentation paths.</x:v>
      </x:c>
      <x:c r="E6" s="21"/>
      <x:c r="F6" s="21"/>
      <x:c r="G6" s="21"/>
      <x:c r="H6" s="21"/>
    </x:row>
    <x:row r="7" ht="28" customHeight="1">
      <x:c r="A7" s="13" t="str">
        <x:v>Median stars</x:v>
      </x:c>
      <x:c r="B7" s="14" t="n">
        <x:f>MEDIAN('Projects'!$D$2:$D$31)</x:f>
        <x:v>16560.5</x:v>
      </x:c>
      <x:c r="D7" s="21" t="str">
        <x:v>3. Ship human-readable terminal output and stable JSON together.</x:v>
      </x:c>
      <x:c r="E7" s="21"/>
      <x:c r="F7" s="21"/>
      <x:c r="G7" s="21"/>
      <x:c r="H7" s="21"/>
    </x:row>
    <x:row r="8" ht="28" customHeight="1">
      <x:c r="A8" s="13" t="str">
        <x:v>Rust projects</x:v>
      </x:c>
      <x:c r="B8" s="14" t="n">
        <x:f>COUNTIF('Projects'!$I$2:$I$31,"Rust")</x:f>
        <x:v>20</x:v>
      </x:c>
      <x:c r="D8" s="21" t="str">
        <x:v>4. Pair each conclusion with evidence, confidence, and explicit non-goals.</x:v>
      </x:c>
      <x:c r="E8" s="21"/>
      <x:c r="F8" s="21"/>
      <x:c r="G8" s="21"/>
      <x:c r="H8" s="21"/>
    </x:row>
    <x:row r="9" ht="28" customHeight="1">
      <x:c r="A9" s="13" t="str">
        <x:v>Active within 90 days</x:v>
      </x:c>
      <x:c r="B9" s="14" t="n">
        <x:f>COUNTIF('Projects'!$M$2:$M$31,"Active")</x:f>
        <x:v>26</x:v>
      </x:c>
      <x:c r="D9" s="21" t="str">
        <x:v>5. Distribution breadth is a growth feature; target binaries before many package managers.</x:v>
      </x:c>
      <x:c r="E9" s="21"/>
      <x:c r="F9" s="21"/>
      <x:c r="G9" s="21"/>
      <x:c r="H9" s="21"/>
    </x:row>
    <x:row r="10" ht="28" customHeight="1">
      <x:c r="A10" s="13" t="str">
        <x:v>README demo signals</x:v>
      </x:c>
      <x:c r="B10" s="14" t="n">
        <x:f>COUNTIF('Projects'!$S$2:$S$31,"Yes")</x:f>
        <x:v>19</x:v>
      </x:c>
      <x:c r="D10" s="21" t="str">
        <x:v>6. Make redacted diagnostic output easy to paste into issues and AI-agent conversations.</x:v>
      </x:c>
      <x:c r="E10" s="21"/>
      <x:c r="F10" s="21"/>
      <x:c r="G10" s="21"/>
      <x:c r="H10" s="21"/>
    </x:row>
    <x:row r="11">
      <x:c r="A11" s="15" t="str">
        <x:v>Median package-manager signals</x:v>
      </x:c>
      <x:c r="B11" s="16" t="n">
        <x:f>MEDIAN('Projects'!$Z$2:$Z$31)</x:f>
        <x:v>6</x:v>
      </x:c>
    </x:row>
    <x:row r="14">
      <x:c r="A14" s="23" t="str">
        <x:v>Recommended first release sequence</x:v>
      </x:c>
      <x:c r="B14" s="23" t="str">
        <x:v>Recommended first release sequence</x:v>
      </x:c>
      <x:c r="C14" s="23" t="str">
        <x:v>Recommended first release sequence</x:v>
      </x:c>
      <x:c r="D14" s="23" t="str">
        <x:v>Recommended first release sequence</x:v>
      </x:c>
      <x:c r="E14" s="23" t="str">
        <x:v>Recommended first release sequence</x:v>
      </x:c>
      <x:c r="F14" s="23" t="str">
        <x:v>Recommended first release sequence</x:v>
      </x:c>
      <x:c r="G14" s="23" t="str">
        <x:v>Recommended first release sequence</x:v>
      </x:c>
      <x:c r="H14" s="23" t="str">
        <x:v>Recommended first release sequence</x:v>
      </x:c>
    </x:row>
    <x:row r="15" ht="34" customHeight="1">
      <x:c r="A15" s="26" t="str">
        <x:v>1. Freeze the diagnostic schema and redaction contract.</x:v>
      </x:c>
      <x:c r="B15" s="26"/>
      <x:c r="C15" s="26"/>
      <x:c r="D15" s="26"/>
      <x:c r="E15" s="26"/>
      <x:c r="F15" s="26"/>
      <x:c r="G15" s="26"/>
      <x:c r="H15" s="26"/>
    </x:row>
    <x:row r="16" ht="34" customHeight="1">
      <x:c r="A16" s="26" t="str">
        <x:v>2. Record a real Windows ↔ WSL executable-resolution demo.</x:v>
      </x:c>
      <x:c r="B16" s="26"/>
      <x:c r="C16" s="26"/>
      <x:c r="D16" s="26"/>
      <x:c r="E16" s="26"/>
      <x:c r="F16" s="26"/>
      <x:c r="G16" s="26"/>
      <x:c r="H16" s="26"/>
    </x:row>
    <x:row r="17" ht="34" customHeight="1">
      <x:c r="A17" s="26" t="str">
        <x:v>3. Publish signed/checksummed Windows and Linux binaries.</x:v>
      </x:c>
      <x:c r="B17" s="26"/>
      <x:c r="C17" s="26"/>
      <x:c r="D17" s="26"/>
      <x:c r="E17" s="26"/>
      <x:c r="F17" s="26"/>
      <x:c r="G17" s="26"/>
      <x:c r="H17" s="26"/>
    </x:row>
    <x:row r="18" ht="34" customHeight="1">
      <x:c r="A18" s="26" t="str">
        <x:v>4. Add three copyable scenarios: agent runtime, PATH collision, /mnt/c boundary.</x:v>
      </x:c>
      <x:c r="B18" s="26"/>
      <x:c r="C18" s="26"/>
      <x:c r="D18" s="26"/>
      <x:c r="E18" s="26"/>
      <x:c r="F18" s="26"/>
      <x:c r="G18" s="26"/>
      <x:c r="H18" s="26"/>
    </x:row>
    <x:row r="19" ht="34" customHeight="1">
      <x:c r="A19" s="26" t="str">
        <x:v>5. Release v0.1.0 with changelog, limitations, and issue templates.</x:v>
      </x:c>
      <x:c r="B19" s="26"/>
      <x:c r="C19" s="26"/>
      <x:c r="D19" s="26"/>
      <x:c r="E19" s="26"/>
      <x:c r="F19" s="26"/>
      <x:c r="G19" s="26"/>
      <x:c r="H19" s="26"/>
    </x:row>
    <x:row r="20" ht="34" customHeight="1">
      <x:c r="A20" s="26" t="str">
        <x:v>6. Announce with a problem-first article; measure installs, issues, and retained contributors—not stars alone.</x:v>
      </x:c>
      <x:c r="B20" s="26"/>
      <x:c r="C20" s="26"/>
      <x:c r="D20" s="26"/>
      <x:c r="E20" s="26"/>
      <x:c r="F20" s="26"/>
      <x:c r="G20" s="26"/>
      <x:c r="H20" s="26"/>
    </x:row>
  </x:sheetData>
  <x:mergeCells>
    <x:mergeCell ref="A1:H1"/>
    <x:mergeCell ref="A2:H2"/>
    <x:mergeCell ref="D4:H4"/>
    <x:mergeCell ref="D5:H5"/>
    <x:mergeCell ref="D6:H6"/>
    <x:mergeCell ref="D7:H7"/>
    <x:mergeCell ref="D8:H8"/>
    <x:mergeCell ref="D9:H9"/>
    <x:mergeCell ref="D10:H10"/>
    <x:mergeCell ref="A14:H14"/>
    <x:mergeCell ref="A15:H15"/>
    <x:mergeCell ref="A16:H16"/>
    <x:mergeCell ref="A17:H17"/>
    <x:mergeCell ref="A18:H18"/>
    <x:mergeCell ref="A19:H19"/>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22" hidden="0" customWidth="1"/>
    <x:col min="4" max="4" width="11" hidden="0" customWidth="1"/>
    <x:col min="5" max="5" width="10" hidden="0" customWidth="1"/>
    <x:col min="6" max="6" width="14" hidden="0" customWidth="1"/>
    <x:col min="7" max="7" width="12" hidden="0" customWidth="1"/>
    <x:col min="8" max="8" width="12" hidden="0" customWidth="1"/>
    <x:col min="9" max="9" width="11" hidden="0" customWidth="1"/>
    <x:col min="10" max="10" width="14" hidden="0" customWidth="1"/>
    <x:col min="11" max="11" width="10" hidden="0" customWidth="1"/>
    <x:col min="12" max="12" width="13" hidden="0" customWidth="1"/>
    <x:col min="13" max="13" width="12" hidden="0" customWidth="1"/>
    <x:col min="14" max="14" width="10" hidden="0" customWidth="1"/>
    <x:col min="15" max="15" width="11" hidden="0" customWidth="1"/>
    <x:col min="16" max="16" width="10" hidden="0" customWidth="1"/>
    <x:col min="17" max="17" width="13" hidden="0" customWidth="1"/>
    <x:col min="18" max="18" width="9" hidden="0" customWidth="1"/>
    <x:col min="19" max="19" width="11" hidden="0" customWidth="1"/>
    <x:col min="20" max="20" width="12" hidden="0" customWidth="1"/>
    <x:col min="21" max="21" width="12" hidden="0" customWidth="1"/>
    <x:col min="22" max="22" width="14" hidden="0" customWidth="1"/>
    <x:col min="23" max="23" width="14" hidden="0" customWidth="1"/>
    <x:col min="24" max="24" width="15" hidden="0" customWidth="1"/>
    <x:col min="25" max="25" width="12" hidden="0" customWidth="1"/>
    <x:col min="26" max="26" width="15" hidden="0" customWidth="1"/>
    <x:col min="27" max="27" width="14" hidden="0" customWidth="1"/>
    <x:col min="28" max="28" width="28" hidden="0" customWidth="1"/>
    <x:col min="29" max="29" width="42" hidden="0" customWidth="1"/>
    <x:col min="30" max="30" width="46" hidden="0" customWidth="1"/>
    <x:col min="31" max="31" width="42" hidden="0" customWidth="1"/>
    <x:col min="32" max="32" width="36" hidden="0" customWidth="1"/>
  </x:cols>
  <x:sheetData>
    <x:row r="1" ht="36" customHeight="1">
      <x:c r="A1" s="29" t="str">
        <x:v>Rank</x:v>
      </x:c>
      <x:c r="B1" s="29" t="str">
        <x:v>Repository</x:v>
      </x:c>
      <x:c r="C1" s="29" t="str">
        <x:v>Category</x:v>
      </x:c>
      <x:c r="D1" s="29" t="str">
        <x:v>Stars</x:v>
      </x:c>
      <x:c r="E1" s="29" t="str">
        <x:v>Forks</x:v>
      </x:c>
      <x:c r="F1" s="29" t="str">
        <x:v>Stars per Year</x:v>
      </x:c>
      <x:c r="G1" s="29" t="str">
        <x:v>Created</x:v>
      </x:c>
      <x:c r="H1" s="29" t="str">
        <x:v>Last Push</x:v>
      </x:c>
      <x:c r="I1" s="29" t="str">
        <x:v>Language</x:v>
      </x:c>
      <x:c r="J1" s="29" t="str">
        <x:v>License</x:v>
      </x:c>
      <x:c r="K1" s="29" t="str">
        <x:v>Releases</x:v>
      </x:c>
      <x:c r="L1" s="29" t="str">
        <x:v>Latest Release</x:v>
      </x:c>
      <x:c r="M1" s="29" t="str">
        <x:v>Activity</x:v>
      </x:c>
      <x:c r="N1" s="29" t="str">
        <x:v>Archived</x:v>
      </x:c>
      <x:c r="O1" s="29" t="str">
        <x:v>Open Issues</x:v>
      </x:c>
      <x:c r="P1" s="29" t="str">
        <x:v>Open PRs</x:v>
      </x:c>
      <x:c r="Q1" s="29" t="str">
        <x:v>README Words</x:v>
      </x:c>
      <x:c r="R1" s="29" t="str">
        <x:v>Images</x:v>
      </x:c>
      <x:c r="S1" s="29" t="str">
        <x:v>Demo Signal</x:v>
      </x:c>
      <x:c r="T1" s="29" t="str">
        <x:v>Install Section</x:v>
      </x:c>
      <x:c r="U1" s="29" t="str">
        <x:v>Usage Section</x:v>
      </x:c>
      <x:c r="V1" s="29" t="str">
        <x:v>Comparison Section</x:v>
      </x:c>
      <x:c r="W1" s="29" t="str">
        <x:v>Benchmark Section</x:v>
      </x:c>
      <x:c r="X1" s="29" t="str">
        <x:v>Contributing Section</x:v>
      </x:c>
      <x:c r="Y1" s="29" t="str">
        <x:v>Sponsor Signal</x:v>
      </x:c>
      <x:c r="Z1" s="29" t="str">
        <x:v>Package Manager Count</x:v>
      </x:c>
      <x:c r="AA1" s="29" t="str">
        <x:v>Relevance (1-5)</x:v>
      </x:c>
      <x:c r="AB1" s="29" t="str">
        <x:v>Primary Growth Loop</x:v>
      </x:c>
      <x:c r="AC1" s="29" t="str">
        <x:v>Key Lesson</x:v>
      </x:c>
      <x:c r="AD1" s="29" t="str">
        <x:v>ExecLocus Application</x:v>
      </x:c>
      <x:c r="AE1" s="29" t="str">
        <x:v>Caution</x:v>
      </x:c>
      <x:c r="AF1" s="29" t="str">
        <x:v>Source URL</x:v>
      </x:c>
    </x:row>
    <x:row r="2" ht="48" customHeight="1">
      <x:c r="A2" s="39" t="n">
        <x:v>1</x:v>
      </x:c>
      <x:c r="B2" s="42" t="str">
        <x:v>junegunn/fzf</x:v>
      </x:c>
      <x:c r="C2" s="42" t="str">
        <x:v>検索・ナビゲーション</x:v>
      </x:c>
      <x:c r="D2" s="48" t="n">
        <x:v>82003</x:v>
      </x:c>
      <x:c r="E2" s="48" t="n">
        <x:v>2822</x:v>
      </x:c>
      <x:c r="F2" s="48" t="n">
        <x:f>D2/MAX(1,(DATE(2026,7,28)-G2)/365.25)</x:f>
        <x:v>6426.002091825789</x:v>
      </x:c>
      <x:c r="G2" s="45" t="n">
        <x:v>41570</x:v>
      </x:c>
      <x:c r="H2" s="45" t="n">
        <x:v>46230</x:v>
      </x:c>
      <x:c r="I2" s="36" t="str">
        <x:v>Go</x:v>
      </x:c>
      <x:c r="J2" s="36" t="str">
        <x:v>MIT</x:v>
      </x:c>
      <x:c r="K2" s="51" t="n">
        <x:v>82</x:v>
      </x:c>
      <x:c r="L2" s="45" t="n">
        <x:v>46221</x:v>
      </x:c>
      <x:c r="M2" s="36" t="str">
        <x:v>Active</x:v>
      </x:c>
      <x:c r="N2" s="36" t="str">
        <x:v>No</x:v>
      </x:c>
      <x:c r="O2" s="51" t="n">
        <x:v>262</x:v>
      </x:c>
      <x:c r="P2" s="51" t="n">
        <x:v>61</x:v>
      </x:c>
      <x:c r="Q2" s="51" t="n">
        <x:v>5328</x:v>
      </x:c>
      <x:c r="R2" s="51" t="n">
        <x:v>15</x:v>
      </x:c>
      <x:c r="S2" s="36" t="str">
        <x:v>Yes</x:v>
      </x:c>
      <x:c r="T2" s="36" t="str">
        <x:v>No</x:v>
      </x:c>
      <x:c r="U2" s="36" t="str">
        <x:v>Yes</x:v>
      </x:c>
      <x:c r="V2" s="36" t="str">
        <x:v>No</x:v>
      </x:c>
      <x:c r="W2" s="36" t="str">
        <x:v>No</x:v>
      </x:c>
      <x:c r="X2" s="36" t="str">
        <x:v>No</x:v>
      </x:c>
      <x:c r="Y2" s="36" t="str">
        <x:v>Yes</x:v>
      </x:c>
      <x:c r="Z2" s="54" t="n">
        <x:v>8</x:v>
      </x:c>
      <x:c r="AA2" s="54" t="n">
        <x:v>4</x:v>
      </x:c>
      <x:c r="AB2" s="36" t="str">
        <x:v>即時デモ＋シェル／エディタ統合</x:v>
      </x:c>
      <x:c r="AC2" s="36" t="str">
        <x:v>一目で価値が伝わる操作体験を、多数の既存ワークフローへ接続。</x:v>
      </x:c>
      <x:c r="AD2" s="36" t="str">
        <x:v>10秒の端末デモとPowerShell・Bash・WSL別の利用例を先頭に置く。</x:v>
      </x:c>
      <x:c r="AE2" s="36" t="str">
        <x:v>統合先を増やしすぎると保守範囲が急拡大する。</x:v>
      </x:c>
      <x:c r="AF2" s="36" t="str">
        <x:v>https://github.com/junegunn/fzf</x:v>
      </x:c>
    </x:row>
    <x:row r="3" ht="48" customHeight="1">
      <x:c r="A3" s="40" t="n">
        <x:v>2</x:v>
      </x:c>
      <x:c r="B3" s="43" t="str">
        <x:v>jesseduffield/lazygit</x:v>
      </x:c>
      <x:c r="C3" s="43" t="str">
        <x:v>開発ワークフロー</x:v>
      </x:c>
      <x:c r="D3" s="49" t="n">
        <x:v>80807</x:v>
      </x:c>
      <x:c r="E3" s="49" t="n">
        <x:v>2946</x:v>
      </x:c>
      <x:c r="F3" s="49" t="n">
        <x:f>D3/MAX(1,(DATE(2026,7,28)-G3)/365.25)</x:f>
        <x:v>9864.557737299467</x:v>
      </x:c>
      <x:c r="G3" s="46" t="n">
        <x:v>43239</x:v>
      </x:c>
      <x:c r="H3" s="46" t="n">
        <x:v>46229</x:v>
      </x:c>
      <x:c r="I3" s="37" t="str">
        <x:v>Go</x:v>
      </x:c>
      <x:c r="J3" s="37" t="str">
        <x:v>MIT</x:v>
      </x:c>
      <x:c r="K3" s="52" t="n">
        <x:v>184</x:v>
      </x:c>
      <x:c r="L3" s="46" t="n">
        <x:v>46218</x:v>
      </x:c>
      <x:c r="M3" s="37" t="str">
        <x:v>Active</x:v>
      </x:c>
      <x:c r="N3" s="37" t="str">
        <x:v>No</x:v>
      </x:c>
      <x:c r="O3" s="52" t="n">
        <x:v>847</x:v>
      </x:c>
      <x:c r="P3" s="52" t="n">
        <x:v>172</x:v>
      </x:c>
      <x:c r="Q3" s="52" t="n">
        <x:v>5769</x:v>
      </x:c>
      <x:c r="R3" s="52" t="n">
        <x:v>129</x:v>
      </x:c>
      <x:c r="S3" s="37" t="str">
        <x:v>Yes</x:v>
      </x:c>
      <x:c r="T3" s="37" t="str">
        <x:v>Yes</x:v>
      </x:c>
      <x:c r="U3" s="37" t="str">
        <x:v>Yes</x:v>
      </x:c>
      <x:c r="V3" s="37" t="str">
        <x:v>Yes</x:v>
      </x:c>
      <x:c r="W3" s="37" t="str">
        <x:v>No</x:v>
      </x:c>
      <x:c r="X3" s="37" t="str">
        <x:v>Yes</x:v>
      </x:c>
      <x:c r="Y3" s="37" t="str">
        <x:v>Yes</x:v>
      </x:c>
      <x:c r="Z3" s="55" t="n">
        <x:v>7</x:v>
      </x:c>
      <x:c r="AA3" s="55" t="n">
        <x:v>3</x:v>
      </x:c>
      <x:c r="AB3" s="37" t="str">
        <x:v>動画的デモ＋明快なElevator Pitch</x:v>
      </x:c>
      <x:c r="AC3" s="37" t="str">
        <x:v>複雑な操作を視覚的な成功体験として見せ、豊富な実例で定着させる。</x:v>
      </x:c>
      <x:c r="AD3" s="37" t="str">
        <x:v>AIエージェントが誤った環境を使う瞬間と、ExecLocusで判明する瞬間をGIF化。</x:v>
      </x:c>
      <x:c r="AE3" s="37" t="str">
        <x:v>初期からTUIへ寄せると診断ロジックよりUI開発が先行する。</x:v>
      </x:c>
      <x:c r="AF3" s="37" t="str">
        <x:v>https://github.com/jesseduffield/lazygit</x:v>
      </x:c>
    </x:row>
    <x:row r="4" ht="48" customHeight="1">
      <x:c r="A4" s="40" t="n">
        <x:v>3</x:v>
      </x:c>
      <x:c r="B4" s="43" t="str">
        <x:v>BurntSushi/ripgrep</x:v>
      </x:c>
      <x:c r="C4" s="43" t="str">
        <x:v>検索・ナビゲーション</x:v>
      </x:c>
      <x:c r="D4" s="49" t="n">
        <x:v>66604</x:v>
      </x:c>
      <x:c r="E4" s="49" t="n">
        <x:v>2664</x:v>
      </x:c>
      <x:c r="F4" s="49" t="n">
        <x:f>D4/MAX(1,(DATE(2026,7,28)-G4)/365.25)</x:f>
        <x:v>6417.069638617779</x:v>
      </x:c>
      <x:c r="G4" s="46" t="n">
        <x:v>42440</x:v>
      </x:c>
      <x:c r="H4" s="46" t="n">
        <x:v>46227</x:v>
      </x:c>
      <x:c r="I4" s="37" t="str">
        <x:v>Rust</x:v>
      </x:c>
      <x:c r="J4" s="37" t="str">
        <x:v>Unlicense</x:v>
      </x:c>
      <x:c r="K4" s="52" t="n">
        <x:v>75</x:v>
      </x:c>
      <x:c r="L4" s="46" t="n">
        <x:v>46218</x:v>
      </x:c>
      <x:c r="M4" s="37" t="str">
        <x:v>Active</x:v>
      </x:c>
      <x:c r="N4" s="37" t="str">
        <x:v>No</x:v>
      </x:c>
      <x:c r="O4" s="52" t="n">
        <x:v>116</x:v>
      </x:c>
      <x:c r="P4" s="52" t="n">
        <x:v>52</x:v>
      </x:c>
      <x:c r="Q4" s="52" t="n">
        <x:v>3215</x:v>
      </x:c>
      <x:c r="R4" s="52" t="n">
        <x:v>4</x:v>
      </x:c>
      <x:c r="S4" s="37" t="str">
        <x:v>Yes</x:v>
      </x:c>
      <x:c r="T4" s="37" t="str">
        <x:v>Yes</x:v>
      </x:c>
      <x:c r="U4" s="37" t="str">
        <x:v>No</x:v>
      </x:c>
      <x:c r="V4" s="37" t="str">
        <x:v>Yes</x:v>
      </x:c>
      <x:c r="W4" s="37" t="str">
        <x:v>No</x:v>
      </x:c>
      <x:c r="X4" s="37" t="str">
        <x:v>No</x:v>
      </x:c>
      <x:c r="Y4" s="37" t="str">
        <x:v>No</x:v>
      </x:c>
      <x:c r="Z4" s="55" t="n">
        <x:v>9</x:v>
      </x:c>
      <x:c r="AA4" s="55" t="n">
        <x:v>4</x:v>
      </x:c>
      <x:c r="AB4" s="37" t="str">
        <x:v>比較・制約・再現可能な性能説明</x:v>
      </x:c>
      <x:c r="AC4" s="37" t="str">
        <x:v>Why／Why notを併記し、置換対象と非対象を誠実に説明。</x:v>
      </x:c>
      <x:c r="AD4" s="37" t="str">
        <x:v>判定可能範囲、confidence、判定不能時の挙動を明文化する。</x:v>
      </x:c>
      <x:c r="AE4" s="37" t="str">
        <x:v>比較や性能主張は再現条件を伴わないと信頼を失う。</x:v>
      </x:c>
      <x:c r="AF4" s="37" t="str">
        <x:v>https://github.com/BurntSushi/ripgrep</x:v>
      </x:c>
    </x:row>
    <x:row r="5" ht="48" customHeight="1">
      <x:c r="A5" s="40" t="n">
        <x:v>4</x:v>
      </x:c>
      <x:c r="B5" s="43" t="str">
        <x:v>sharkdp/bat</x:v>
      </x:c>
      <x:c r="C5" s="43" t="str">
        <x:v>診断・表示</x:v>
      </x:c>
      <x:c r="D5" s="49" t="n">
        <x:v>59898</x:v>
      </x:c>
      <x:c r="E5" s="49" t="n">
        <x:v>1605</x:v>
      </x:c>
      <x:c r="F5" s="49" t="n">
        <x:f>D5/MAX(1,(DATE(2026,7,28)-G5)/365.25)</x:f>
        <x:v>7244.286258278145</x:v>
      </x:c>
      <x:c r="G5" s="46" t="n">
        <x:v>43211</x:v>
      </x:c>
      <x:c r="H5" s="46" t="n">
        <x:v>46204</x:v>
      </x:c>
      <x:c r="I5" s="37" t="str">
        <x:v>Rust</x:v>
      </x:c>
      <x:c r="J5" s="37" t="str">
        <x:v>Apache-2.0</x:v>
      </x:c>
      <x:c r="K5" s="52" t="n">
        <x:v>43</x:v>
      </x:c>
      <x:c r="L5" s="46" t="n">
        <x:v>45993</x:v>
      </x:c>
      <x:c r="M5" s="37" t="str">
        <x:v>Active</x:v>
      </x:c>
      <x:c r="N5" s="37" t="str">
        <x:v>No</x:v>
      </x:c>
      <x:c r="O5" s="52" t="n">
        <x:v>328</x:v>
      </x:c>
      <x:c r="P5" s="52" t="n">
        <x:v>91</x:v>
      </x:c>
      <x:c r="Q5" s="52" t="n">
        <x:v>5025</x:v>
      </x:c>
      <x:c r="R5" s="52" t="n">
        <x:v>8</x:v>
      </x:c>
      <x:c r="S5" s="37" t="str">
        <x:v>No</x:v>
      </x:c>
      <x:c r="T5" s="37" t="str">
        <x:v>Yes</x:v>
      </x:c>
      <x:c r="U5" s="37" t="str">
        <x:v>Yes</x:v>
      </x:c>
      <x:c r="V5" s="37" t="str">
        <x:v>Yes</x:v>
      </x:c>
      <x:c r="W5" s="37" t="str">
        <x:v>No</x:v>
      </x:c>
      <x:c r="X5" s="37" t="str">
        <x:v>Yes</x:v>
      </x:c>
      <x:c r="Y5" s="37" t="str">
        <x:v>No</x:v>
      </x:c>
      <x:c r="Z5" s="55" t="n">
        <x:v>9</x:v>
      </x:c>
      <x:c r="AA5" s="55" t="n">
        <x:v>4</x:v>
      </x:c>
      <x:c r="AB5" s="37" t="str">
        <x:v>既知コマンドの置換＋美しい出力</x:v>
      </x:c>
      <x:c r="AC5" s="37" t="str">
        <x:v>catという既知の概念に、色・Git連携・ページングの価値を追加。</x:v>
      </x:c>
      <x:c r="AD5" s="37" t="str">
        <x:v>doctor系の慣れた入口に、証拠付きで見やすい診断を足す。</x:v>
      </x:c>
      <x:c r="AE5" s="37" t="str">
        <x:v>表示機能を増やして本来の判断価値を薄めない。</x:v>
      </x:c>
      <x:c r="AF5" s="37" t="str">
        <x:v>https://github.com/sharkdp/bat</x:v>
      </x:c>
    </x:row>
    <x:row r="6" ht="48" customHeight="1">
      <x:c r="A6" s="40" t="n">
        <x:v>5</x:v>
      </x:c>
      <x:c r="B6" s="43" t="str">
        <x:v>wagoodman/dive</x:v>
      </x:c>
      <x:c r="C6" s="43" t="str">
        <x:v>診断・表示</x:v>
      </x:c>
      <x:c r="D6" s="49" t="n">
        <x:v>54371</x:v>
      </x:c>
      <x:c r="E6" s="49" t="n">
        <x:v>1992</x:v>
      </x:c>
      <x:c r="F6" s="49" t="n">
        <x:f>D6/MAX(1,(DATE(2026,7,28)-G6)/365.25)</x:f>
        <x:v>6624.085306871248</x:v>
      </x:c>
      <x:c r="G6" s="46" t="n">
        <x:v>43233</x:v>
      </x:c>
      <x:c r="H6" s="46" t="n">
        <x:v>46006</x:v>
      </x:c>
      <x:c r="I6" s="37" t="str">
        <x:v>Go</x:v>
      </x:c>
      <x:c r="J6" s="37" t="str">
        <x:v>MIT</x:v>
      </x:c>
      <x:c r="K6" s="52" t="n">
        <x:v>28</x:v>
      </x:c>
      <x:c r="L6" s="46" t="n">
        <x:v>45745</x:v>
      </x:c>
      <x:c r="M6" s="37" t="str">
        <x:v>Maintained</x:v>
      </x:c>
      <x:c r="N6" s="37" t="str">
        <x:v>No</x:v>
      </x:c>
      <x:c r="O6" s="52" t="n">
        <x:v>169</x:v>
      </x:c>
      <x:c r="P6" s="52" t="n">
        <x:v>40</x:v>
      </x:c>
      <x:c r="Q6" s="52" t="n">
        <x:v>1683</x:v>
      </x:c>
      <x:c r="R6" s="52" t="n">
        <x:v>7</x:v>
      </x:c>
      <x:c r="S6" s="37" t="str">
        <x:v>Yes</x:v>
      </x:c>
      <x:c r="T6" s="37" t="str">
        <x:v>Yes</x:v>
      </x:c>
      <x:c r="U6" s="37" t="str">
        <x:v>No</x:v>
      </x:c>
      <x:c r="V6" s="37" t="str">
        <x:v>No</x:v>
      </x:c>
      <x:c r="W6" s="37" t="str">
        <x:v>No</x:v>
      </x:c>
      <x:c r="X6" s="37" t="str">
        <x:v>No</x:v>
      </x:c>
      <x:c r="Y6" s="37" t="str">
        <x:v>No</x:v>
      </x:c>
      <x:c r="Z6" s="55" t="n">
        <x:v>8</x:v>
      </x:c>
      <x:c r="AA6" s="55" t="n">
        <x:v>3</x:v>
      </x:c>
      <x:c r="AB6" s="37" t="str">
        <x:v>可視化＋CI向け非対話モード</x:v>
      </x:c>
      <x:c r="AC6" s="37" t="str">
        <x:v>探索UIだけでなく、自動化で失敗判定できるモードを提供。</x:v>
      </x:c>
      <x:c r="AD6" s="37" t="str">
        <x:v>人向けterminal表示と機械向けJSON／終了コードを同格に扱う。</x:v>
      </x:c>
      <x:c r="AE6" s="37" t="str">
        <x:v>対象プラットフォームへの依存が強いと利用範囲が限定される。</x:v>
      </x:c>
      <x:c r="AF6" s="37" t="str">
        <x:v>https://github.com/wagoodman/dive</x:v>
      </x:c>
    </x:row>
    <x:row r="7" ht="48" customHeight="1">
      <x:c r="A7" s="40" t="n">
        <x:v>6</x:v>
      </x:c>
      <x:c r="B7" s="43" t="str">
        <x:v>sharkdp/fd</x:v>
      </x:c>
      <x:c r="C7" s="43" t="str">
        <x:v>検索・ナビゲーション</x:v>
      </x:c>
      <x:c r="D7" s="49" t="n">
        <x:v>43898</x:v>
      </x:c>
      <x:c r="E7" s="49" t="n">
        <x:v>1103</x:v>
      </x:c>
      <x:c r="F7" s="49" t="n">
        <x:f>D7/MAX(1,(DATE(2026,7,28)-G7)/365.25)</x:f>
        <x:v>4762.026878526878</x:v>
      </x:c>
      <x:c r="G7" s="46" t="n">
        <x:v>42864</x:v>
      </x:c>
      <x:c r="H7" s="46" t="n">
        <x:v>46230</x:v>
      </x:c>
      <x:c r="I7" s="37" t="str">
        <x:v>Rust</x:v>
      </x:c>
      <x:c r="J7" s="37" t="str">
        <x:v>Apache-2.0</x:v>
      </x:c>
      <x:c r="K7" s="52" t="n">
        <x:v>44</x:v>
      </x:c>
      <x:c r="L7" s="46" t="n">
        <x:v>46091</x:v>
      </x:c>
      <x:c r="M7" s="37" t="str">
        <x:v>Active</x:v>
      </x:c>
      <x:c r="N7" s="37" t="str">
        <x:v>No</x:v>
      </x:c>
      <x:c r="O7" s="52" t="n">
        <x:v>131</x:v>
      </x:c>
      <x:c r="P7" s="52" t="n">
        <x:v>53</x:v>
      </x:c>
      <x:c r="Q7" s="52" t="n">
        <x:v>4286</x:v>
      </x:c>
      <x:c r="R7" s="52" t="n">
        <x:v>4</x:v>
      </x:c>
      <x:c r="S7" s="37" t="str">
        <x:v>No</x:v>
      </x:c>
      <x:c r="T7" s="37" t="str">
        <x:v>Yes</x:v>
      </x:c>
      <x:c r="U7" s="37" t="str">
        <x:v>Yes</x:v>
      </x:c>
      <x:c r="V7" s="37" t="str">
        <x:v>No</x:v>
      </x:c>
      <x:c r="W7" s="37" t="str">
        <x:v>Yes</x:v>
      </x:c>
      <x:c r="X7" s="37" t="str">
        <x:v>No</x:v>
      </x:c>
      <x:c r="Y7" s="37" t="str">
        <x:v>No</x:v>
      </x:c>
      <x:c r="Z7" s="55" t="n">
        <x:v>10</x:v>
      </x:c>
      <x:c r="AA7" s="55" t="n">
        <x:v>4</x:v>
      </x:c>
      <x:c r="AB7" s="37" t="str">
        <x:v>簡単な代替表現＋幅広い配布</x:v>
      </x:c>
      <x:c r="AC7" s="37" t="str">
        <x:v>findより使いやすい、という一文と対応例で学習コストを下げる。</x:v>
      </x:c>
      <x:c r="AD7" s="37" t="str">
        <x:v>手作業のwhere／which／env確認を一コマンドへ置き換える例を示す。</x:v>
      </x:c>
      <x:c r="AE7" s="37" t="str">
        <x:v>万能な完全置換をうたわず、非対応ケースを明示する。</x:v>
      </x:c>
      <x:c r="AF7" s="37" t="str">
        <x:v>https://github.com/sharkdp/fd</x:v>
      </x:c>
    </x:row>
    <x:row r="8" ht="48" customHeight="1">
      <x:c r="A8" s="40" t="n">
        <x:v>7</x:v>
      </x:c>
      <x:c r="B8" s="43" t="str">
        <x:v>ajeetdsouza/zoxide</x:v>
      </x:c>
      <x:c r="C8" s="43" t="str">
        <x:v>実行環境・シェル</x:v>
      </x:c>
      <x:c r="D8" s="49" t="n">
        <x:v>38297</x:v>
      </x:c>
      <x:c r="E8" s="49" t="n">
        <x:v>853</x:v>
      </x:c>
      <x:c r="F8" s="49" t="n">
        <x:f>D8/MAX(1,(DATE(2026,7,28)-G8)/365.25)</x:f>
        <x:v>5988.004815924657</x:v>
      </x:c>
      <x:c r="G8" s="46" t="n">
        <x:v>43895</x:v>
      </x:c>
      <x:c r="H8" s="46" t="n">
        <x:v>46223</x:v>
      </x:c>
      <x:c r="I8" s="37" t="str">
        <x:v>Rust</x:v>
      </x:c>
      <x:c r="J8" s="37" t="str">
        <x:v>MIT</x:v>
      </x:c>
      <x:c r="K8" s="52" t="n">
        <x:v>38</x:v>
      </x:c>
      <x:c r="L8" s="46" t="n">
        <x:v>46207</x:v>
      </x:c>
      <x:c r="M8" s="37" t="str">
        <x:v>Active</x:v>
      </x:c>
      <x:c r="N8" s="37" t="str">
        <x:v>No</x:v>
      </x:c>
      <x:c r="O8" s="52" t="n">
        <x:v>99</x:v>
      </x:c>
      <x:c r="P8" s="52" t="n">
        <x:v>34</x:v>
      </x:c>
      <x:c r="Q8" s="52" t="n">
        <x:v>2295</x:v>
      </x:c>
      <x:c r="R8" s="52" t="n">
        <x:v>2</x:v>
      </x:c>
      <x:c r="S8" s="37" t="str">
        <x:v>No</x:v>
      </x:c>
      <x:c r="T8" s="37" t="str">
        <x:v>Yes</x:v>
      </x:c>
      <x:c r="U8" s="37" t="str">
        <x:v>Yes</x:v>
      </x:c>
      <x:c r="V8" s="37" t="str">
        <x:v>No</x:v>
      </x:c>
      <x:c r="W8" s="37" t="str">
        <x:v>No</x:v>
      </x:c>
      <x:c r="X8" s="37" t="str">
        <x:v>No</x:v>
      </x:c>
      <x:c r="Y8" s="37" t="str">
        <x:v>Yes</x:v>
      </x:c>
      <x:c r="Z8" s="55" t="n">
        <x:v>9</x:v>
      </x:c>
      <x:c r="AA8" s="55" t="n">
        <x:v>5</x:v>
      </x:c>
      <x:c r="AB8" s="37" t="str">
        <x:v>短い約束＋全主要シェル対応</x:v>
      </x:c>
      <x:c r="AC8" s="37" t="str">
        <x:v>単純な価値提案の後に、シェル別の確実な初期設定を提供。</x:v>
      </x:c>
      <x:c r="AD8" s="37" t="str">
        <x:v>PowerShell、cmd、Bash、zshごとの検出結果と導入例を整備する。</x:v>
      </x:c>
      <x:c r="AE8" s="37" t="str">
        <x:v>シェル初期化を要求する機能は導入離脱を増やす。</x:v>
      </x:c>
      <x:c r="AF8" s="37" t="str">
        <x:v>https://github.com/ajeetdsouza/zoxide</x:v>
      </x:c>
    </x:row>
    <x:row r="9" ht="48" customHeight="1">
      <x:c r="A9" s="40" t="n">
        <x:v>8</x:v>
      </x:c>
      <x:c r="B9" s="43" t="str">
        <x:v>casey/just</x:v>
      </x:c>
      <x:c r="C9" s="43" t="str">
        <x:v>実行環境・シェル</x:v>
      </x:c>
      <x:c r="D9" s="49" t="n">
        <x:v>34984</x:v>
      </x:c>
      <x:c r="E9" s="49" t="n">
        <x:v>828</x:v>
      </x:c>
      <x:c r="F9" s="49" t="n">
        <x:f>D9/MAX(1,(DATE(2026,7,28)-G9)/365.25)</x:f>
        <x:v>3460.034118602762</x:v>
      </x:c>
      <x:c r="G9" s="46" t="n">
        <x:v>42538</x:v>
      </x:c>
      <x:c r="H9" s="46" t="n">
        <x:v>46229</x:v>
      </x:c>
      <x:c r="I9" s="37" t="str">
        <x:v>Rust</x:v>
      </x:c>
      <x:c r="J9" s="37" t="str">
        <x:v>CC0-1.0</x:v>
      </x:c>
      <x:c r="K9" s="52" t="n">
        <x:v>145</x:v>
      </x:c>
      <x:c r="L9" s="46" t="n">
        <x:v>46222</x:v>
      </x:c>
      <x:c r="M9" s="37" t="str">
        <x:v>Active</x:v>
      </x:c>
      <x:c r="N9" s="37" t="str">
        <x:v>No</x:v>
      </x:c>
      <x:c r="O9" s="52" t="n">
        <x:v>169</x:v>
      </x:c>
      <x:c r="P9" s="52" t="n">
        <x:v>0</x:v>
      </x:c>
      <x:c r="Q9" s="52" t="n">
        <x:v>24041</x:v>
      </x:c>
      <x:c r="R9" s="52" t="n">
        <x:v>7</x:v>
      </x:c>
      <x:c r="S9" s="37" t="str">
        <x:v>Yes</x:v>
      </x:c>
      <x:c r="T9" s="37" t="str">
        <x:v>Yes</x:v>
      </x:c>
      <x:c r="U9" s="37" t="str">
        <x:v>Yes</x:v>
      </x:c>
      <x:c r="V9" s="37" t="str">
        <x:v>Yes</x:v>
      </x:c>
      <x:c r="W9" s="37" t="str">
        <x:v>No</x:v>
      </x:c>
      <x:c r="X9" s="37" t="str">
        <x:v>Yes</x:v>
      </x:c>
      <x:c r="Y9" s="37" t="str">
        <x:v>No</x:v>
      </x:c>
      <x:c r="Z9" s="55" t="n">
        <x:v>9</x:v>
      </x:c>
      <x:c r="AA9" s="55" t="n">
        <x:v>5</x:v>
      </x:c>
      <x:c r="AB9" s="37" t="str">
        <x:v>集中した用途＋徹底したクロスプラットフォーム文書</x:v>
      </x:c>
      <x:c r="AC9" s="37" t="str">
        <x:v>PowerShell、cmd、shの差を例外扱いせず主要仕様として記述。</x:v>
      </x:c>
      <x:c r="AD9" s="37" t="str">
        <x:v>Windows版、WSL版、共有パスの差を一級のドキュメントにする。</x:v>
      </x:c>
      <x:c r="AE9" s="37" t="str">
        <x:v>READMEが巨大化したらランディングとリファレンスを分離する。</x:v>
      </x:c>
      <x:c r="AF9" s="37" t="str">
        <x:v>https://github.com/casey/just</x:v>
      </x:c>
    </x:row>
    <x:row r="10" ht="48" customHeight="1">
      <x:c r="A10" s="40" t="n">
        <x:v>9</x:v>
      </x:c>
      <x:c r="B10" s="43" t="str">
        <x:v>aristocratos/btop</x:v>
      </x:c>
      <x:c r="C10" s="43" t="str">
        <x:v>システム診断</x:v>
      </x:c>
      <x:c r="D10" s="49" t="n">
        <x:v>33681</x:v>
      </x:c>
      <x:c r="E10" s="49" t="n">
        <x:v>1090</x:v>
      </x:c>
      <x:c r="F10" s="49" t="n">
        <x:f>D10/MAX(1,(DATE(2026,7,28)-G10)/365.25)</x:f>
        <x:v>6444.203902566789</x:v>
      </x:c>
      <x:c r="G10" s="46" t="n">
        <x:v>44322</x:v>
      </x:c>
      <x:c r="H10" s="46" t="n">
        <x:v>46229</x:v>
      </x:c>
      <x:c r="I10" s="37" t="str">
        <x:v>C++</x:v>
      </x:c>
      <x:c r="J10" s="37" t="str">
        <x:v>Apache-2.0</x:v>
      </x:c>
      <x:c r="K10" s="52" t="n">
        <x:v>55</x:v>
      </x:c>
      <x:c r="L10" s="46" t="n">
        <x:v>46143</x:v>
      </x:c>
      <x:c r="M10" s="37" t="str">
        <x:v>Active</x:v>
      </x:c>
      <x:c r="N10" s="37" t="str">
        <x:v>No</x:v>
      </x:c>
      <x:c r="O10" s="52" t="n">
        <x:v>448</x:v>
      </x:c>
      <x:c r="P10" s="52" t="n">
        <x:v>55</x:v>
      </x:c>
      <x:c r="Q10" s="52" t="n">
        <x:v>6916</x:v>
      </x:c>
      <x:c r="R10" s="52" t="n">
        <x:v>29</x:v>
      </x:c>
      <x:c r="S10" s="37" t="str">
        <x:v>Yes</x:v>
      </x:c>
      <x:c r="T10" s="37" t="str">
        <x:v>Yes</x:v>
      </x:c>
      <x:c r="U10" s="37" t="str">
        <x:v>No</x:v>
      </x:c>
      <x:c r="V10" s="37" t="str">
        <x:v>No</x:v>
      </x:c>
      <x:c r="W10" s="37" t="str">
        <x:v>No</x:v>
      </x:c>
      <x:c r="X10" s="37" t="str">
        <x:v>No</x:v>
      </x:c>
      <x:c r="Y10" s="37" t="str">
        <x:v>Yes</x:v>
      </x:c>
      <x:c r="Z10" s="55" t="n">
        <x:v>3</x:v>
      </x:c>
      <x:c r="AA10" s="55" t="n">
        <x:v>4</x:v>
      </x:c>
      <x:c r="AB10" s="37" t="str">
        <x:v>特徴的な画面＋テーマ共有</x:v>
      </x:c>
      <x:c r="AC10" s="37" t="str">
        <x:v>視覚的に識別できる出力がスクリーンショット共有を促進。</x:v>
      </x:c>
      <x:c r="AD10" s="37" t="str">
        <x:v>診断要約を一目で保存・共有できる端末カードとして設計する。</x:v>
      </x:c>
      <x:c r="AE10" s="37" t="str">
        <x:v>豊富な表示はネイティブ環境差の保守コストを押し上げる。</x:v>
      </x:c>
      <x:c r="AF10" s="37" t="str">
        <x:v>https://github.com/aristocratos/btop</x:v>
      </x:c>
    </x:row>
    <x:row r="11" ht="48" customHeight="1">
      <x:c r="A11" s="40" t="n">
        <x:v>10</x:v>
      </x:c>
      <x:c r="B11" s="43" t="str">
        <x:v>dandavison/delta</x:v>
      </x:c>
      <x:c r="C11" s="43" t="str">
        <x:v>開発ワークフロー</x:v>
      </x:c>
      <x:c r="D11" s="49" t="n">
        <x:v>31578</x:v>
      </x:c>
      <x:c r="E11" s="49" t="n">
        <x:v>555</x:v>
      </x:c>
      <x:c r="F11" s="49" t="n">
        <x:f>D11/MAX(1,(DATE(2026,7,28)-G11)/365.25)</x:f>
        <x:v>4451.510806638364</x:v>
      </x:c>
      <x:c r="G11" s="46" t="n">
        <x:v>43640</x:v>
      </x:c>
      <x:c r="H11" s="46" t="n">
        <x:v>46228</x:v>
      </x:c>
      <x:c r="I11" s="37" t="str">
        <x:v>Rust</x:v>
      </x:c>
      <x:c r="J11" s="37" t="str">
        <x:v>MIT</x:v>
      </x:c>
      <x:c r="K11" s="52" t="n">
        <x:v>62</x:v>
      </x:c>
      <x:c r="L11" s="46" t="n">
        <x:v>46109</x:v>
      </x:c>
      <x:c r="M11" s="37" t="str">
        <x:v>Active</x:v>
      </x:c>
      <x:c r="N11" s="37" t="str">
        <x:v>No</x:v>
      </x:c>
      <x:c r="O11" s="52" t="n">
        <x:v>305</x:v>
      </x:c>
      <x:c r="P11" s="52" t="n">
        <x:v>113</x:v>
      </x:c>
      <x:c r="Q11" s="52" t="n">
        <x:v>946</x:v>
      </x:c>
      <x:c r="R11" s="52" t="n">
        <x:v>16</x:v>
      </x:c>
      <x:c r="S11" s="37" t="str">
        <x:v>No</x:v>
      </x:c>
      <x:c r="T11" s="37" t="str">
        <x:v>Yes</x:v>
      </x:c>
      <x:c r="U11" s="37" t="str">
        <x:v>Yes</x:v>
      </x:c>
      <x:c r="V11" s="37" t="str">
        <x:v>No</x:v>
      </x:c>
      <x:c r="W11" s="37" t="str">
        <x:v>No</x:v>
      </x:c>
      <x:c r="X11" s="37" t="str">
        <x:v>No</x:v>
      </x:c>
      <x:c r="Y11" s="37" t="str">
        <x:v>No</x:v>
      </x:c>
      <x:c r="Z11" s="55" t="n">
        <x:v>0</x:v>
      </x:c>
      <x:c r="AA11" s="55" t="n">
        <x:v>3</x:v>
      </x:c>
      <x:c r="AB11" s="37" t="str">
        <x:v>既存Gitフローへの自然な統合</x:v>
      </x:c>
      <x:c r="AC11" s="37" t="str">
        <x:v>新しい作法を強制せず、普段のコマンド出力を改善。</x:v>
      </x:c>
      <x:c r="AD11" s="37" t="str">
        <x:v>Codex／Claude Codeを変えずに、その実行文脈を外側から説明する。</x:v>
      </x:c>
      <x:c r="AE11" s="37" t="str">
        <x:v>設定項目の増加は初見利用者を迷わせる。</x:v>
      </x:c>
      <x:c r="AF11" s="37" t="str">
        <x:v>https://github.com/dandavison/delta</x:v>
      </x:c>
    </x:row>
    <x:row r="12" ht="48" customHeight="1">
      <x:c r="A12" s="40" t="n">
        <x:v>11</x:v>
      </x:c>
      <x:c r="B12" s="43" t="str">
        <x:v>sharkdp/hyperfine</x:v>
      </x:c>
      <x:c r="C12" s="43" t="str">
        <x:v>診断・再現性</x:v>
      </x:c>
      <x:c r="D12" s="49" t="n">
        <x:v>28549</x:v>
      </x:c>
      <x:c r="E12" s="49" t="n">
        <x:v>504</x:v>
      </x:c>
      <x:c r="F12" s="49" t="n">
        <x:f>D12/MAX(1,(DATE(2026,7,28)-G12)/365.25)</x:f>
        <x:v>3344.298348300192</x:v>
      </x:c>
      <x:c r="G12" s="46" t="n">
        <x:v>43113</x:v>
      </x:c>
      <x:c r="H12" s="46" t="n">
        <x:v>46142</x:v>
      </x:c>
      <x:c r="I12" s="37" t="str">
        <x:v>Rust</x:v>
      </x:c>
      <x:c r="J12" s="37" t="str">
        <x:v>Apache-2.0</x:v>
      </x:c>
      <x:c r="K12" s="52" t="n">
        <x:v>26</x:v>
      </x:c>
      <x:c r="L12" s="46" t="n">
        <x:v>45979</x:v>
      </x:c>
      <x:c r="M12" s="37" t="str">
        <x:v>Active</x:v>
      </x:c>
      <x:c r="N12" s="37" t="str">
        <x:v>No</x:v>
      </x:c>
      <x:c r="O12" s="52" t="n">
        <x:v>52</x:v>
      </x:c>
      <x:c r="P12" s="52" t="n">
        <x:v>40</x:v>
      </x:c>
      <x:c r="Q12" s="52" t="n">
        <x:v>1600</x:v>
      </x:c>
      <x:c r="R12" s="52" t="n">
        <x:v>7</x:v>
      </x:c>
      <x:c r="S12" s="37" t="str">
        <x:v>Yes</x:v>
      </x:c>
      <x:c r="T12" s="37" t="str">
        <x:v>Yes</x:v>
      </x:c>
      <x:c r="U12" s="37" t="str">
        <x:v>Yes</x:v>
      </x:c>
      <x:c r="V12" s="37" t="str">
        <x:v>No</x:v>
      </x:c>
      <x:c r="W12" s="37" t="str">
        <x:v>Yes</x:v>
      </x:c>
      <x:c r="X12" s="37" t="str">
        <x:v>No</x:v>
      </x:c>
      <x:c r="Y12" s="37" t="str">
        <x:v>No</x:v>
      </x:c>
      <x:c r="Z12" s="55" t="n">
        <x:v>9</x:v>
      </x:c>
      <x:c r="AA12" s="55" t="n">
        <x:v>5</x:v>
      </x:c>
      <x:c r="AB12" s="37" t="str">
        <x:v>方法論の信頼＋エクスポート</x:v>
      </x:c>
      <x:c r="AC12" s="37" t="str">
        <x:v>測定条件、ウォームアップ、出力形式を仕様化して信頼を作る。</x:v>
      </x:c>
      <x:c r="AD12" s="37" t="str">
        <x:v>各判定にevidence、confidence、probe versionを残す設計を前面に出す。</x:v>
      </x:c>
      <x:c r="AE12" s="37" t="str">
        <x:v>診断結果の断定には再現可能な証拠が必要。</x:v>
      </x:c>
      <x:c r="AF12" s="37" t="str">
        <x:v>https://github.com/sharkdp/hyperfine</x:v>
      </x:c>
    </x:row>
    <x:row r="13" ht="48" customHeight="1">
      <x:c r="A13" s="40" t="n">
        <x:v>12</x:v>
      </x:c>
      <x:c r="B13" s="43" t="str">
        <x:v>Wilfred/difftastic</x:v>
      </x:c>
      <x:c r="C13" s="43" t="str">
        <x:v>開発ワークフロー</x:v>
      </x:c>
      <x:c r="D13" s="49" t="n">
        <x:v>25697</x:v>
      </x:c>
      <x:c r="E13" s="49" t="n">
        <x:v>500</x:v>
      </x:c>
      <x:c r="F13" s="49" t="n">
        <x:f>D13/MAX(1,(DATE(2026,7,28)-G13)/365.25)</x:f>
        <x:v>3377.4124685138536</x:v>
      </x:c>
      <x:c r="G13" s="46" t="n">
        <x:v>43452</x:v>
      </x:c>
      <x:c r="H13" s="46" t="n">
        <x:v>46231</x:v>
      </x:c>
      <x:c r="I13" s="37" t="str">
        <x:v>Rust</x:v>
      </x:c>
      <x:c r="J13" s="37" t="str">
        <x:v>MIT</x:v>
      </x:c>
      <x:c r="K13" s="52" t="n">
        <x:v>51</x:v>
      </x:c>
      <x:c r="L13" s="46" t="n">
        <x:v>46142</x:v>
      </x:c>
      <x:c r="M13" s="37" t="str">
        <x:v>Active</x:v>
      </x:c>
      <x:c r="N13" s="37" t="str">
        <x:v>No</x:v>
      </x:c>
      <x:c r="O13" s="52" t="n">
        <x:v>248</x:v>
      </x:c>
      <x:c r="P13" s="52" t="n">
        <x:v>38</x:v>
      </x:c>
      <x:c r="Q13" s="52" t="n">
        <x:v>1054</x:v>
      </x:c>
      <x:c r="R13" s="52" t="n">
        <x:v>9</x:v>
      </x:c>
      <x:c r="S13" s="37" t="str">
        <x:v>Yes</x:v>
      </x:c>
      <x:c r="T13" s="37" t="str">
        <x:v>No</x:v>
      </x:c>
      <x:c r="U13" s="37" t="str">
        <x:v>No</x:v>
      </x:c>
      <x:c r="V13" s="37" t="str">
        <x:v>Yes</x:v>
      </x:c>
      <x:c r="W13" s="37" t="str">
        <x:v>No</x:v>
      </x:c>
      <x:c r="X13" s="37" t="str">
        <x:v>No</x:v>
      </x:c>
      <x:c r="Y13" s="37" t="str">
        <x:v>No</x:v>
      </x:c>
      <x:c r="Z13" s="55" t="n">
        <x:v>0</x:v>
      </x:c>
      <x:c r="AA13" s="55" t="n">
        <x:v>3</x:v>
      </x:c>
      <x:c r="AB13" s="37" t="str">
        <x:v>技術的差別化＋Non-goals</x:v>
      </x:c>
      <x:c r="AC13" s="37" t="str">
        <x:v>何を理解するツールかと、何をしないかをFAQで明確化。</x:v>
      </x:c>
      <x:c r="AD13" s="37" t="str">
        <x:v>監視・修復・環境切替をしない診断専用という境界を示す。</x:v>
      </x:c>
      <x:c r="AE13" s="37" t="str">
        <x:v>対応対象を広げるほど解析品質の保証が難しくなる。</x:v>
      </x:c>
      <x:c r="AF13" s="37" t="str">
        <x:v>https://github.com/Wilfred/difftastic</x:v>
      </x:c>
    </x:row>
    <x:row r="14" ht="48" customHeight="1">
      <x:c r="A14" s="40" t="n">
        <x:v>13</x:v>
      </x:c>
      <x:c r="B14" s="43" t="str">
        <x:v>dylanaraps/neofetch</x:v>
      </x:c>
      <x:c r="C14" s="43" t="str">
        <x:v>システム診断</x:v>
      </x:c>
      <x:c r="D14" s="49" t="n">
        <x:v>23711</x:v>
      </x:c>
      <x:c r="E14" s="49" t="n">
        <x:v>1783</x:v>
      </x:c>
      <x:c r="F14" s="49" t="n">
        <x:f>D14/MAX(1,(DATE(2026,7,28)-G14)/365.25)</x:f>
        <x:v>2241.895612218483</x:v>
      </x:c>
      <x:c r="G14" s="46" t="n">
        <x:v>42368</x:v>
      </x:c>
      <x:c r="H14" s="46" t="n">
        <x:v>45492</x:v>
      </x:c>
      <x:c r="I14" s="37" t="str">
        <x:v>Shell</x:v>
      </x:c>
      <x:c r="J14" s="37" t="str">
        <x:v>MIT</x:v>
      </x:c>
      <x:c r="K14" s="52" t="n">
        <x:v>32</x:v>
      </x:c>
      <x:c r="L14" s="46" t="n">
        <x:v>44045</x:v>
      </x:c>
      <x:c r="M14" s="37" t="str">
        <x:v>Archived</x:v>
      </x:c>
      <x:c r="N14" s="37" t="str">
        <x:v>Yes</x:v>
      </x:c>
      <x:c r="O14" s="52" t="n">
        <x:v>290</x:v>
      </x:c>
      <x:c r="P14" s="52" t="n">
        <x:v>177</x:v>
      </x:c>
      <x:c r="Q14" s="52" t="n">
        <x:v>309</x:v>
      </x:c>
      <x:c r="R14" s="52" t="n">
        <x:v>6</x:v>
      </x:c>
      <x:c r="S14" s="37" t="str">
        <x:v>No</x:v>
      </x:c>
      <x:c r="T14" s="37" t="str">
        <x:v>Yes</x:v>
      </x:c>
      <x:c r="U14" s="37" t="str">
        <x:v>No</x:v>
      </x:c>
      <x:c r="V14" s="37" t="str">
        <x:v>No</x:v>
      </x:c>
      <x:c r="W14" s="37" t="str">
        <x:v>No</x:v>
      </x:c>
      <x:c r="X14" s="37" t="str">
        <x:v>No</x:v>
      </x:c>
      <x:c r="Y14" s="37" t="str">
        <x:v>No</x:v>
      </x:c>
      <x:c r="Z14" s="55" t="n">
        <x:v>0</x:v>
      </x:c>
      <x:c r="AA14" s="55" t="n">
        <x:v>5</x:v>
      </x:c>
      <x:c r="AB14" s="37" t="str">
        <x:v>共有したくなるシステム情報</x:v>
      </x:c>
      <x:c r="AC14" s="37" t="str">
        <x:v>端末出力そのものがプロジェクトの宣伝素材になった。</x:v>
      </x:c>
      <x:c r="AD14" s="37" t="str">
        <x:v>個人情報を既定で伏せた共有可能な環境スナップショットを用意する。</x:v>
      </x:c>
      <x:c r="AE14" s="37" t="str">
        <x:v>アーカイブ済み。単独メンテナー依存と後継移行を最初から考える。</x:v>
      </x:c>
      <x:c r="AF14" s="37" t="str">
        <x:v>https://github.com/dylanaraps/neofetch</x:v>
      </x:c>
    </x:row>
    <x:row r="15" ht="48" customHeight="1">
      <x:c r="A15" s="40" t="n">
        <x:v>14</x:v>
      </x:c>
      <x:c r="B15" s="43" t="str">
        <x:v>antonmedv/fx</x:v>
      </x:c>
      <x:c r="C15" s="43" t="str">
        <x:v>診断・表示</x:v>
      </x:c>
      <x:c r="D15" s="49" t="n">
        <x:v>20548</x:v>
      </x:c>
      <x:c r="E15" s="49" t="n">
        <x:v>484</x:v>
      </x:c>
      <x:c r="F15" s="49" t="n">
        <x:f>D15/MAX(1,(DATE(2026,7,28)-G15)/365.25)</x:f>
        <x:v>2416.3415969092084</x:v>
      </x:c>
      <x:c r="G15" s="46" t="n">
        <x:v>43125</x:v>
      </x:c>
      <x:c r="H15" s="46" t="n">
        <x:v>46231</x:v>
      </x:c>
      <x:c r="I15" s="37" t="str">
        <x:v>Go</x:v>
      </x:c>
      <x:c r="J15" s="37" t="str">
        <x:v>MIT</x:v>
      </x:c>
      <x:c r="K15" s="52" t="n">
        <x:v>77</x:v>
      </x:c>
      <x:c r="L15" s="46" t="n">
        <x:v>45973</x:v>
      </x:c>
      <x:c r="M15" s="37" t="str">
        <x:v>Active</x:v>
      </x:c>
      <x:c r="N15" s="37" t="str">
        <x:v>No</x:v>
      </x:c>
      <x:c r="O15" s="52" t="n">
        <x:v>20</x:v>
      </x:c>
      <x:c r="P15" s="52" t="n">
        <x:v>4</x:v>
      </x:c>
      <x:c r="Q15" s="52" t="n">
        <x:v>93</x:v>
      </x:c>
      <x:c r="R15" s="52" t="n">
        <x:v>2</x:v>
      </x:c>
      <x:c r="S15" s="37" t="str">
        <x:v>Yes</x:v>
      </x:c>
      <x:c r="T15" s="37" t="str">
        <x:v>No</x:v>
      </x:c>
      <x:c r="U15" s="37" t="str">
        <x:v>No</x:v>
      </x:c>
      <x:c r="V15" s="37" t="str">
        <x:v>No</x:v>
      </x:c>
      <x:c r="W15" s="37" t="str">
        <x:v>No</x:v>
      </x:c>
      <x:c r="X15" s="37" t="str">
        <x:v>No</x:v>
      </x:c>
      <x:c r="Y15" s="37" t="str">
        <x:v>No</x:v>
      </x:c>
      <x:c r="Z15" s="55" t="n">
        <x:v>0</x:v>
      </x:c>
      <x:c r="AA15" s="55" t="n">
        <x:v>3</x:v>
      </x:c>
      <x:c r="AB15" s="37" t="str">
        <x:v>極小README＋完成度の高いデモ</x:v>
      </x:c>
      <x:c r="AC15" s="37" t="str">
        <x:v>トップページは説明しすぎず、体験と公式文書へ誘導。</x:v>
      </x:c>
      <x:c r="AD15" s="37" t="str">
        <x:v>README冒頭を問題、デモ、3コマンドに限定し詳細はdocsへ移す。</x:v>
      </x:c>
      <x:c r="AE15" s="37" t="str">
        <x:v>外部文書依存はオフライン閲覧と発見性を弱める。</x:v>
      </x:c>
      <x:c r="AF15" s="37" t="str">
        <x:v>https://github.com/antonmedv/fx</x:v>
      </x:c>
    </x:row>
    <x:row r="16" ht="48" customHeight="1">
      <x:c r="A16" s="40" t="n">
        <x:v>15</x:v>
      </x:c>
      <x:c r="B16" s="43" t="str">
        <x:v>denisidoro/navi</x:v>
      </x:c>
      <x:c r="C16" s="43" t="str">
        <x:v>実行環境・シェル</x:v>
      </x:c>
      <x:c r="D16" s="49" t="n">
        <x:v>17368</x:v>
      </x:c>
      <x:c r="E16" s="49" t="n">
        <x:v>553</x:v>
      </x:c>
      <x:c r="F16" s="49" t="n">
        <x:f>D16/MAX(1,(DATE(2026,7,28)-G16)/365.25)</x:f>
        <x:v>2534.423491809828</x:v>
      </x:c>
      <x:c r="G16" s="46" t="n">
        <x:v>43728</x:v>
      </x:c>
      <x:c r="H16" s="46" t="n">
        <x:v>46231</x:v>
      </x:c>
      <x:c r="I16" s="37" t="str">
        <x:v>Rust</x:v>
      </x:c>
      <x:c r="J16" s="37" t="str">
        <x:v>Apache-2.0</x:v>
      </x:c>
      <x:c r="K16" s="52" t="n">
        <x:v>69</x:v>
      </x:c>
      <x:c r="L16" s="46" t="n">
        <x:v>45686</x:v>
      </x:c>
      <x:c r="M16" s="37" t="str">
        <x:v>Active</x:v>
      </x:c>
      <x:c r="N16" s="37" t="str">
        <x:v>No</x:v>
      </x:c>
      <x:c r="O16" s="52" t="n">
        <x:v>102</x:v>
      </x:c>
      <x:c r="P16" s="52" t="n">
        <x:v>3</x:v>
      </x:c>
      <x:c r="Q16" s="52" t="n">
        <x:v>603</x:v>
      </x:c>
      <x:c r="R16" s="52" t="n">
        <x:v>5</x:v>
      </x:c>
      <x:c r="S16" s="37" t="str">
        <x:v>Yes</x:v>
      </x:c>
      <x:c r="T16" s="37" t="str">
        <x:v>Yes</x:v>
      </x:c>
      <x:c r="U16" s="37" t="str">
        <x:v>Yes</x:v>
      </x:c>
      <x:c r="V16" s="37" t="str">
        <x:v>No</x:v>
      </x:c>
      <x:c r="W16" s="37" t="str">
        <x:v>No</x:v>
      </x:c>
      <x:c r="X16" s="37" t="str">
        <x:v>No</x:v>
      </x:c>
      <x:c r="Y16" s="37" t="str">
        <x:v>No</x:v>
      </x:c>
      <x:c r="Z16" s="55" t="n">
        <x:v>1</x:v>
      </x:c>
      <x:c r="AA16" s="55" t="n">
        <x:v>4</x:v>
      </x:c>
      <x:c r="AB16" s="37" t="str">
        <x:v>対話デモ＋共有コンテンツ生態系</x:v>
      </x:c>
      <x:c r="AC16" s="37" t="str">
        <x:v>本体に加えてコミュニティが作れるチートシートを成長装置にした。</x:v>
      </x:c>
      <x:c r="AD16" s="37" t="str">
        <x:v>診断ルールを小さく追加できる規約と貢献ガイドを用意する。</x:v>
      </x:c>
      <x:c r="AE16" s="37" t="str">
        <x:v>外部ルールを受け入れる場合は品質・安全性・互換性管理が必要。</x:v>
      </x:c>
      <x:c r="AF16" s="37" t="str">
        <x:v>https://github.com/denisidoro/navi</x:v>
      </x:c>
    </x:row>
    <x:row r="17" ht="48" customHeight="1">
      <x:c r="A17" s="40" t="n">
        <x:v>16</x:v>
      </x:c>
      <x:c r="B17" s="43" t="str">
        <x:v>mikefarah/yq</x:v>
      </x:c>
      <x:c r="C17" s="43" t="str">
        <x:v>データ・自動化</x:v>
      </x:c>
      <x:c r="D17" s="49" t="n">
        <x:v>15753</x:v>
      </x:c>
      <x:c r="E17" s="49" t="n">
        <x:v>802</x:v>
      </x:c>
      <x:c r="F17" s="49" t="n">
        <x:f>D17/MAX(1,(DATE(2026,7,28)-G17)/365.25)</x:f>
        <x:v>1453.7097650328446</x:v>
      </x:c>
      <x:c r="G17" s="46" t="n">
        <x:v>42273</x:v>
      </x:c>
      <x:c r="H17" s="46" t="n">
        <x:v>46212</x:v>
      </x:c>
      <x:c r="I17" s="37" t="str">
        <x:v>Go</x:v>
      </x:c>
      <x:c r="J17" s="37" t="str">
        <x:v>MIT</x:v>
      </x:c>
      <x:c r="K17" s="52" t="n">
        <x:v>167</x:v>
      </x:c>
      <x:c r="L17" s="46" t="n">
        <x:v>46179</x:v>
      </x:c>
      <x:c r="M17" s="37" t="str">
        <x:v>Active</x:v>
      </x:c>
      <x:c r="N17" s="37" t="str">
        <x:v>No</x:v>
      </x:c>
      <x:c r="O17" s="52" t="n">
        <x:v>245</x:v>
      </x:c>
      <x:c r="P17" s="52" t="n">
        <x:v>44</x:v>
      </x:c>
      <x:c r="Q17" s="52" t="n">
        <x:v>2587</x:v>
      </x:c>
      <x:c r="R17" s="52" t="n">
        <x:v>7</x:v>
      </x:c>
      <x:c r="S17" s="37" t="str">
        <x:v>No</x:v>
      </x:c>
      <x:c r="T17" s="37" t="str">
        <x:v>Yes</x:v>
      </x:c>
      <x:c r="U17" s="37" t="str">
        <x:v>Yes</x:v>
      </x:c>
      <x:c r="V17" s="37" t="str">
        <x:v>No</x:v>
      </x:c>
      <x:c r="W17" s="37" t="str">
        <x:v>No</x:v>
      </x:c>
      <x:c r="X17" s="37" t="str">
        <x:v>No</x:v>
      </x:c>
      <x:c r="Y17" s="37" t="str">
        <x:v>No</x:v>
      </x:c>
      <x:c r="Z17" s="55" t="n">
        <x:v>6</x:v>
      </x:c>
      <x:c r="AA17" s="55" t="n">
        <x:v>3</x:v>
      </x:c>
      <x:c r="AB17" s="37" t="str">
        <x:v>移植可能な単一バイナリ＋例題集</x:v>
      </x:c>
      <x:c r="AC17" s="37" t="str">
        <x:v>Quick Usageから高度なリファレンスへ段階的に導く。</x:v>
      </x:c>
      <x:c r="AD17" s="37" t="str">
        <x:v>JSON例をコピー可能にし、スキーマ安定性をリリース方針に含める。</x:v>
      </x:c>
      <x:c r="AE17" s="37" t="str">
        <x:v>入力形式や機能を増やしすぎるとテスト面が急増する。</x:v>
      </x:c>
      <x:c r="AF17" s="37" t="str">
        <x:v>https://github.com/mikefarah/yq</x:v>
      </x:c>
    </x:row>
    <x:row r="18" ht="48" customHeight="1">
      <x:c r="A18" s="40" t="n">
        <x:v>17</x:v>
      </x:c>
      <x:c r="B18" s="43" t="str">
        <x:v>muesli/duf</x:v>
      </x:c>
      <x:c r="C18" s="43" t="str">
        <x:v>システム診断</x:v>
      </x:c>
      <x:c r="D18" s="49" t="n">
        <x:v>15216</x:v>
      </x:c>
      <x:c r="E18" s="49" t="n">
        <x:v>467</x:v>
      </x:c>
      <x:c r="F18" s="49" t="n">
        <x:f>D18/MAX(1,(DATE(2026,7,28)-G18)/365.25)</x:f>
        <x:v>2600.6757136172205</x:v>
      </x:c>
      <x:c r="G18" s="46" t="n">
        <x:v>44094</x:v>
      </x:c>
      <x:c r="H18" s="46" t="n">
        <x:v>46035</x:v>
      </x:c>
      <x:c r="I18" s="37" t="str">
        <x:v>Go</x:v>
      </x:c>
      <x:c r="J18" s="37" t="str">
        <x:v>NOASSERTION</x:v>
      </x:c>
      <x:c r="K18" s="52" t="n">
        <x:v>14</x:v>
      </x:c>
      <x:c r="L18" s="46" t="n">
        <x:v>45908</x:v>
      </x:c>
      <x:c r="M18" s="37" t="str">
        <x:v>Maintained</x:v>
      </x:c>
      <x:c r="N18" s="37" t="str">
        <x:v>No</x:v>
      </x:c>
      <x:c r="O18" s="52" t="n">
        <x:v>54</x:v>
      </x:c>
      <x:c r="P18" s="52" t="n">
        <x:v>26</x:v>
      </x:c>
      <x:c r="Q18" s="52" t="n">
        <x:v>578</x:v>
      </x:c>
      <x:c r="R18" s="52" t="n">
        <x:v>6</x:v>
      </x:c>
      <x:c r="S18" s="37" t="str">
        <x:v>No</x:v>
      </x:c>
      <x:c r="T18" s="37" t="str">
        <x:v>Yes</x:v>
      </x:c>
      <x:c r="U18" s="37" t="str">
        <x:v>Yes</x:v>
      </x:c>
      <x:c r="V18" s="37" t="str">
        <x:v>No</x:v>
      </x:c>
      <x:c r="W18" s="37" t="str">
        <x:v>No</x:v>
      </x:c>
      <x:c r="X18" s="37" t="str">
        <x:v>No</x:v>
      </x:c>
      <x:c r="Y18" s="37" t="str">
        <x:v>No</x:v>
      </x:c>
      <x:c r="Z18" s="55" t="n">
        <x:v>7</x:v>
      </x:c>
      <x:c r="AA18" s="55" t="n">
        <x:v>4</x:v>
      </x:c>
      <x:c r="AB18" s="37" t="str">
        <x:v>表形式の即読性＋色付き閾値</x:v>
      </x:c>
      <x:c r="AC18" s="37" t="str">
        <x:v>大量の生データを、重要箇所が即座に分かる表へ圧縮。</x:v>
      </x:c>
      <x:c r="AD18" s="37" t="str">
        <x:v>環境差分のSeverityと根拠を色だけに依存せず短い表で示す。</x:v>
      </x:c>
      <x:c r="AE18" s="37" t="str">
        <x:v>GitHub API上のライセンス自動判定はNOASSERTIONのため再利用時は本文確認が必要。</x:v>
      </x:c>
      <x:c r="AF18" s="37" t="str">
        <x:v>https://github.com/muesli/duf</x:v>
      </x:c>
    </x:row>
    <x:row r="19" ht="48" customHeight="1">
      <x:c r="A19" s="40" t="n">
        <x:v>18</x:v>
      </x:c>
      <x:c r="B19" s="43" t="str">
        <x:v>XAMPPRocky/tokei</x:v>
      </x:c>
      <x:c r="C19" s="43" t="str">
        <x:v>診断・再現性</x:v>
      </x:c>
      <x:c r="D19" s="49" t="n">
        <x:v>14729</x:v>
      </x:c>
      <x:c r="E19" s="49" t="n">
        <x:v>694</x:v>
      </x:c>
      <x:c r="F19" s="49" t="n">
        <x:f>D19/MAX(1,(DATE(2026,7,28)-G19)/365.25)</x:f>
        <x:v>1318.2473045822103</x:v>
      </x:c>
      <x:c r="G19" s="46" t="n">
        <x:v>42150</x:v>
      </x:c>
      <x:c r="H19" s="46" t="n">
        <x:v>46148</x:v>
      </x:c>
      <x:c r="I19" s="37" t="str">
        <x:v>Rust</x:v>
      </x:c>
      <x:c r="J19" s="37" t="str">
        <x:v>NOASSERTION</x:v>
      </x:c>
      <x:c r="K19" s="52" t="n">
        <x:v>64</x:v>
      </x:c>
      <x:c r="L19" s="46" t="n">
        <x:v>46021</x:v>
      </x:c>
      <x:c r="M19" s="37" t="str">
        <x:v>Active</x:v>
      </x:c>
      <x:c r="N19" s="37" t="str">
        <x:v>No</x:v>
      </x:c>
      <x:c r="O19" s="52" t="n">
        <x:v>0</x:v>
      </x:c>
      <x:c r="P19" s="52" t="n">
        <x:v>85</x:v>
      </x:c>
      <x:c r="Q19" s="52" t="n">
        <x:v>1742</x:v>
      </x:c>
      <x:c r="R19" s="52" t="n">
        <x:v>9</x:v>
      </x:c>
      <x:c r="S19" s="37" t="str">
        <x:v>No</x:v>
      </x:c>
      <x:c r="T19" s="37" t="str">
        <x:v>Yes</x:v>
      </x:c>
      <x:c r="U19" s="37" t="str">
        <x:v>Yes</x:v>
      </x:c>
      <x:c r="V19" s="37" t="str">
        <x:v>No</x:v>
      </x:c>
      <x:c r="W19" s="37" t="str">
        <x:v>No</x:v>
      </x:c>
      <x:c r="X19" s="37" t="str">
        <x:v>No</x:v>
      </x:c>
      <x:c r="Y19" s="37" t="str">
        <x:v>No</x:v>
      </x:c>
      <x:c r="Z19" s="55" t="n">
        <x:v>8</x:v>
      </x:c>
      <x:c r="AA19" s="55" t="n">
        <x:v>4</x:v>
      </x:c>
      <x:c r="AB19" s="37" t="str">
        <x:v>結果例＋埋め込み可能なバッジ</x:v>
      </x:c>
      <x:c r="AC19" s="37" t="str">
        <x:v>解析結果をREADMEや他プロジェクトへ再利用可能にする。</x:v>
      </x:c>
      <x:c r="AD19" s="37" t="str">
        <x:v>ExecLocusの匿名化済み診断要約をIssueへ貼れる形式で出す。</x:v>
      </x:c>
      <x:c r="AE19" s="37" t="str">
        <x:v>ライセンス自動判定がNOASSERTIONなのでコード再利用時は本文確認が必要。</x:v>
      </x:c>
      <x:c r="AF19" s="37" t="str">
        <x:v>https://github.com/XAMPPRocky/tokei</x:v>
      </x:c>
    </x:row>
    <x:row r="20" ht="48" customHeight="1">
      <x:c r="A20" s="40" t="n">
        <x:v>19</x:v>
      </x:c>
      <x:c r="B20" s="43" t="str">
        <x:v>ClementTsang/bottom</x:v>
      </x:c>
      <x:c r="C20" s="43" t="str">
        <x:v>システム診断</x:v>
      </x:c>
      <x:c r="D20" s="49" t="n">
        <x:v>13805</x:v>
      </x:c>
      <x:c r="E20" s="49" t="n">
        <x:v>364</x:v>
      </x:c>
      <x:c r="F20" s="49" t="n">
        <x:f>D20/MAX(1,(DATE(2026,7,28)-G20)/365.25)</x:f>
        <x:v>1996.1505344418053</x:v>
      </x:c>
      <x:c r="G20" s="46" t="n">
        <x:v>43705</x:v>
      </x:c>
      <x:c r="H20" s="46" t="n">
        <x:v>46231</x:v>
      </x:c>
      <x:c r="I20" s="37" t="str">
        <x:v>Rust</x:v>
      </x:c>
      <x:c r="J20" s="37" t="str">
        <x:v>MIT</x:v>
      </x:c>
      <x:c r="K20" s="52" t="n">
        <x:v>71</x:v>
      </x:c>
      <x:c r="L20" s="46" t="n">
        <x:v>46230</x:v>
      </x:c>
      <x:c r="M20" s="37" t="str">
        <x:v>Active</x:v>
      </x:c>
      <x:c r="N20" s="37" t="str">
        <x:v>No</x:v>
      </x:c>
      <x:c r="O20" s="52" t="n">
        <x:v>97</x:v>
      </x:c>
      <x:c r="P20" s="52" t="n">
        <x:v>11</x:v>
      </x:c>
      <x:c r="Q20" s="52" t="n">
        <x:v>7133</x:v>
      </x:c>
      <x:c r="R20" s="52" t="n">
        <x:v>90</x:v>
      </x:c>
      <x:c r="S20" s="37" t="str">
        <x:v>Yes</x:v>
      </x:c>
      <x:c r="T20" s="37" t="str">
        <x:v>Yes</x:v>
      </x:c>
      <x:c r="U20" s="37" t="str">
        <x:v>Yes</x:v>
      </x:c>
      <x:c r="V20" s="37" t="str">
        <x:v>No</x:v>
      </x:c>
      <x:c r="W20" s="37" t="str">
        <x:v>No</x:v>
      </x:c>
      <x:c r="X20" s="37" t="str">
        <x:v>Yes</x:v>
      </x:c>
      <x:c r="Y20" s="37" t="str">
        <x:v>No</x:v>
      </x:c>
      <x:c r="Z20" s="55" t="n">
        <x:v>7</x:v>
      </x:c>
      <x:c r="AA20" s="55" t="n">
        <x:v>5</x:v>
      </x:c>
      <x:c r="AB20" s="37" t="str">
        <x:v>クロスプラットフォーム＋支援範囲の明示</x:v>
      </x:c>
      <x:c r="AC20" s="37" t="str">
        <x:v>対応OS・公式／非公式配布を区別し、期待値を管理。</x:v>
      </x:c>
      <x:c r="AD20" s="37" t="str">
        <x:v>Windows、WSL、Linux、macOSの検出能力マトリクスを公開する。</x:v>
      </x:c>
      <x:c r="AE20" s="37" t="str">
        <x:v>OS別差分と豊富なUIを同時に保守する負担が大きい。</x:v>
      </x:c>
      <x:c r="AF20" s="37" t="str">
        <x:v>https://github.com/ClementTsang/bottom</x:v>
      </x:c>
    </x:row>
    <x:row r="21" ht="48" customHeight="1">
      <x:c r="A21" s="40" t="n">
        <x:v>20</x:v>
      </x:c>
      <x:c r="B21" s="43" t="str">
        <x:v>Canop/broot</x:v>
      </x:c>
      <x:c r="C21" s="43" t="str">
        <x:v>検索・ナビゲーション</x:v>
      </x:c>
      <x:c r="D21" s="49" t="n">
        <x:v>12853</x:v>
      </x:c>
      <x:c r="E21" s="49" t="n">
        <x:v>305</x:v>
      </x:c>
      <x:c r="F21" s="49" t="n">
        <x:f>D21/MAX(1,(DATE(2026,7,28)-G21)/365.25)</x:f>
        <x:v>1669.473061877667</x:v>
      </x:c>
      <x:c r="G21" s="46" t="n">
        <x:v>43419</x:v>
      </x:c>
      <x:c r="H21" s="46" t="n">
        <x:v>46222</x:v>
      </x:c>
      <x:c r="I21" s="37" t="str">
        <x:v>Rust</x:v>
      </x:c>
      <x:c r="J21" s="37" t="str">
        <x:v>MIT</x:v>
      </x:c>
      <x:c r="K21" s="52" t="n">
        <x:v>222</x:v>
      </x:c>
      <x:c r="L21" s="46" t="n">
        <x:v>46213</x:v>
      </x:c>
      <x:c r="M21" s="37" t="str">
        <x:v>Active</x:v>
      </x:c>
      <x:c r="N21" s="37" t="str">
        <x:v>No</x:v>
      </x:c>
      <x:c r="O21" s="52" t="n">
        <x:v>231</x:v>
      </x:c>
      <x:c r="P21" s="52" t="n">
        <x:v>13</x:v>
      </x:c>
      <x:c r="Q21" s="52" t="n">
        <x:v>1347</x:v>
      </x:c>
      <x:c r="R21" s="52" t="n">
        <x:v>19</x:v>
      </x:c>
      <x:c r="S21" s="37" t="str">
        <x:v>No</x:v>
      </x:c>
      <x:c r="T21" s="37" t="str">
        <x:v>No</x:v>
      </x:c>
      <x:c r="U21" s="37" t="str">
        <x:v>No</x:v>
      </x:c>
      <x:c r="V21" s="37" t="str">
        <x:v>No</x:v>
      </x:c>
      <x:c r="W21" s="37" t="str">
        <x:v>No</x:v>
      </x:c>
      <x:c r="X21" s="37" t="str">
        <x:v>No</x:v>
      </x:c>
      <x:c r="Y21" s="37" t="str">
        <x:v>No</x:v>
      </x:c>
      <x:c r="Z21" s="55" t="n">
        <x:v>0</x:v>
      </x:c>
      <x:c r="AA21" s="55" t="n">
        <x:v>3</x:v>
      </x:c>
      <x:c r="AB21" s="37" t="str">
        <x:v>ユースケース別の視覚説明</x:v>
      </x:c>
      <x:c r="AC21" s="37" t="str">
        <x:v>機能一覧ではなく、利用者が達成したい仕事ごとに見せる。</x:v>
      </x:c>
      <x:c r="AD21" s="37" t="str">
        <x:v>『Codexがどこで動く？』『どのgitを実行？』の質問別ページを作る。</x:v>
      </x:c>
      <x:c r="AE21" s="37" t="str">
        <x:v>導入情報が別文書へ分散するとREADMEだけでは開始しにくい。</x:v>
      </x:c>
      <x:c r="AF21" s="37" t="str">
        <x:v>https://github.com/Canop/broot</x:v>
      </x:c>
    </x:row>
    <x:row r="22" ht="48" customHeight="1">
      <x:c r="A22" s="40" t="n">
        <x:v>21</x:v>
      </x:c>
      <x:c r="B22" s="43" t="str">
        <x:v>orhun/git-cliff</x:v>
      </x:c>
      <x:c r="C22" s="43" t="str">
        <x:v>リリース・発信</x:v>
      </x:c>
      <x:c r="D22" s="49" t="n">
        <x:v>12058</x:v>
      </x:c>
      <x:c r="E22" s="49" t="n">
        <x:v>311</x:v>
      </x:c>
      <x:c r="F22" s="49" t="n">
        <x:f>D22/MAX(1,(DATE(2026,7,28)-G22)/365.25)</x:f>
        <x:v>2336.437400530504</x:v>
      </x:c>
      <x:c r="G22" s="46" t="n">
        <x:v>44346</x:v>
      </x:c>
      <x:c r="H22" s="46" t="n">
        <x:v>46230</x:v>
      </x:c>
      <x:c r="I22" s="37" t="str">
        <x:v>Rust</x:v>
      </x:c>
      <x:c r="J22" s="37" t="str">
        <x:v>Apache-2.0</x:v>
      </x:c>
      <x:c r="K22" s="52" t="n">
        <x:v>95</x:v>
      </x:c>
      <x:c r="L22" s="46" t="n">
        <x:v>46138</x:v>
      </x:c>
      <x:c r="M22" s="37" t="str">
        <x:v>Active</x:v>
      </x:c>
      <x:c r="N22" s="37" t="str">
        <x:v>No</x:v>
      </x:c>
      <x:c r="O22" s="52" t="n">
        <x:v>89</x:v>
      </x:c>
      <x:c r="P22" s="52" t="n">
        <x:v>45</x:v>
      </x:c>
      <x:c r="Q22" s="52" t="n">
        <x:v>887</x:v>
      </x:c>
      <x:c r="R22" s="52" t="n">
        <x:v>17</x:v>
      </x:c>
      <x:c r="S22" s="37" t="str">
        <x:v>Yes</x:v>
      </x:c>
      <x:c r="T22" s="37" t="str">
        <x:v>No</x:v>
      </x:c>
      <x:c r="U22" s="37" t="str">
        <x:v>No</x:v>
      </x:c>
      <x:c r="V22" s="37" t="str">
        <x:v>No</x:v>
      </x:c>
      <x:c r="W22" s="37" t="str">
        <x:v>No</x:v>
      </x:c>
      <x:c r="X22" s="37" t="str">
        <x:v>Yes</x:v>
      </x:c>
      <x:c r="Y22" s="37" t="str">
        <x:v>No</x:v>
      </x:c>
      <x:c r="Z22" s="55" t="n">
        <x:v>0</x:v>
      </x:c>
      <x:c r="AA22" s="55" t="n">
        <x:v>3</x:v>
      </x:c>
      <x:c r="AB22" s="37" t="str">
        <x:v>自動リリース＋メディア／エディタ連携</x:v>
      </x:c>
      <x:c r="AC22" s="37" t="str">
        <x:v>製品自身で一貫した変更履歴を生成し、露出面を増やす。</x:v>
      </x:c>
      <x:c r="AD22" s="37" t="str">
        <x:v>Conventional Commitsと自動CHANGELOGをv0.1.0前に導入する。</x:v>
      </x:c>
      <x:c r="AE22" s="37" t="str">
        <x:v>文書が複数サイトへ分かれる場合は導線切れを監視する。</x:v>
      </x:c>
      <x:c r="AF22" s="37" t="str">
        <x:v>https://github.com/orhun/git-cliff</x:v>
      </x:c>
    </x:row>
    <x:row r="23" ht="48" customHeight="1">
      <x:c r="A23" s="40" t="n">
        <x:v>22</x:v>
      </x:c>
      <x:c r="B23" s="43" t="str">
        <x:v>bootandy/dust</x:v>
      </x:c>
      <x:c r="C23" s="43" t="str">
        <x:v>システム診断</x:v>
      </x:c>
      <x:c r="D23" s="49" t="n">
        <x:v>12042</x:v>
      </x:c>
      <x:c r="E23" s="49" t="n">
        <x:v>279</x:v>
      </x:c>
      <x:c r="F23" s="49" t="n">
        <x:f>D23/MAX(1,(DATE(2026,7,28)-G23)/365.25)</x:f>
        <x:v>1439.2475458115182</x:v>
      </x:c>
      <x:c r="G23" s="46" t="n">
        <x:v>43175</x:v>
      </x:c>
      <x:c r="H23" s="46" t="n">
        <x:v>46074</x:v>
      </x:c>
      <x:c r="I23" s="37" t="str">
        <x:v>Rust</x:v>
      </x:c>
      <x:c r="J23" s="37" t="str">
        <x:v>Apache-2.0</x:v>
      </x:c>
      <x:c r="K23" s="52" t="n">
        <x:v>49</x:v>
      </x:c>
      <x:c r="L23" s="46" t="n">
        <x:v>46030</x:v>
      </x:c>
      <x:c r="M23" s="37" t="str">
        <x:v>Active</x:v>
      </x:c>
      <x:c r="N23" s="37" t="str">
        <x:v>No</x:v>
      </x:c>
      <x:c r="O23" s="52" t="n">
        <x:v>10</x:v>
      </x:c>
      <x:c r="P23" s="52" t="n">
        <x:v>18</x:v>
      </x:c>
      <x:c r="Q23" s="52" t="n">
        <x:v>1140</x:v>
      </x:c>
      <x:c r="R23" s="52" t="n">
        <x:v>3</x:v>
      </x:c>
      <x:c r="S23" s="37" t="str">
        <x:v>Yes</x:v>
      </x:c>
      <x:c r="T23" s="37" t="str">
        <x:v>Yes</x:v>
      </x:c>
      <x:c r="U23" s="37" t="str">
        <x:v>Yes</x:v>
      </x:c>
      <x:c r="V23" s="37" t="str">
        <x:v>Yes</x:v>
      </x:c>
      <x:c r="W23" s="37" t="str">
        <x:v>No</x:v>
      </x:c>
      <x:c r="X23" s="37" t="str">
        <x:v>No</x:v>
      </x:c>
      <x:c r="Y23" s="37" t="str">
        <x:v>No</x:v>
      </x:c>
      <x:c r="Z23" s="55" t="n">
        <x:v>3</x:v>
      </x:c>
      <x:c r="AA23" s="55" t="n">
        <x:v>4</x:v>
      </x:c>
      <x:c r="AB23" s="37" t="str">
        <x:v>Why＋デモ＋代替比較</x:v>
      </x:c>
      <x:c r="AC23" s="37" t="str">
        <x:v>既存コマンドの痛みと、改善結果を短い順序で提示。</x:v>
      </x:c>
      <x:c r="AD23" s="37" t="str">
        <x:v>手動確認の煩雑さをBefore／Afterで示す。</x:v>
      </x:c>
      <x:c r="AE23" s="37" t="str">
        <x:v>競合比較は敬意を保ち、測定可能な差だけを記載する。</x:v>
      </x:c>
      <x:c r="AF23" s="37" t="str">
        <x:v>https://github.com/bootandy/dust</x:v>
      </x:c>
    </x:row>
    <x:row r="24" ht="48" customHeight="1">
      <x:c r="A24" s="40" t="n">
        <x:v>23</x:v>
      </x:c>
      <x:c r="B24" s="43" t="str">
        <x:v>ducaale/xh</x:v>
      </x:c>
      <x:c r="C24" s="43" t="str">
        <x:v>データ・自動化</x:v>
      </x:c>
      <x:c r="D24" s="49" t="n">
        <x:v>7968</x:v>
      </x:c>
      <x:c r="E24" s="49" t="n">
        <x:v>137</x:v>
      </x:c>
      <x:c r="F24" s="49" t="n">
        <x:f>D24/MAX(1,(DATE(2026,7,28)-G24)/365.25)</x:f>
        <x:v>1355.5249184909176</x:v>
      </x:c>
      <x:c r="G24" s="46" t="n">
        <x:v>44084</x:v>
      </x:c>
      <x:c r="H24" s="46" t="n">
        <x:v>46229</x:v>
      </x:c>
      <x:c r="I24" s="37" t="str">
        <x:v>Rust</x:v>
      </x:c>
      <x:c r="J24" s="37" t="str">
        <x:v>MIT</x:v>
      </x:c>
      <x:c r="K24" s="52" t="n">
        <x:v>40</x:v>
      </x:c>
      <x:c r="L24" s="46" t="n">
        <x:v>46229</x:v>
      </x:c>
      <x:c r="M24" s="37" t="str">
        <x:v>Active</x:v>
      </x:c>
      <x:c r="N24" s="37" t="str">
        <x:v>No</x:v>
      </x:c>
      <x:c r="O24" s="52" t="n">
        <x:v>33</x:v>
      </x:c>
      <x:c r="P24" s="52" t="n">
        <x:v>3</x:v>
      </x:c>
      <x:c r="Q24" s="52" t="n">
        <x:v>1571</x:v>
      </x:c>
      <x:c r="R24" s="52" t="n">
        <x:v>3</x:v>
      </x:c>
      <x:c r="S24" s="37" t="str">
        <x:v>Yes</x:v>
      </x:c>
      <x:c r="T24" s="37" t="str">
        <x:v>Yes</x:v>
      </x:c>
      <x:c r="U24" s="37" t="str">
        <x:v>Yes</x:v>
      </x:c>
      <x:c r="V24" s="37" t="str">
        <x:v>No</x:v>
      </x:c>
      <x:c r="W24" s="37" t="str">
        <x:v>No</x:v>
      </x:c>
      <x:c r="X24" s="37" t="str">
        <x:v>No</x:v>
      </x:c>
      <x:c r="Y24" s="37" t="str">
        <x:v>No</x:v>
      </x:c>
      <x:c r="Z24" s="55" t="n">
        <x:v>8</x:v>
      </x:c>
      <x:c r="AA24" s="55" t="n">
        <x:v>3</x:v>
      </x:c>
      <x:c r="AB24" s="37" t="str">
        <x:v>親しみやすい代替＋OS別ワンライナー</x:v>
      </x:c>
      <x:c r="AC24" s="37" t="str">
        <x:v>PowerShellを含む導入手順を最初から同等に扱う。</x:v>
      </x:c>
      <x:c r="AD24" s="37" t="str">
        <x:v>WindowsとWSLそれぞれにコピー可能なinstall／run例を用意する。</x:v>
      </x:c>
      <x:c r="AE24" s="37" t="str">
        <x:v>互換ツールを名乗ると細部の互換性期待が高まる。</x:v>
      </x:c>
      <x:c r="AF24" s="37" t="str">
        <x:v>https://github.com/ducaale/xh</x:v>
      </x:c>
    </x:row>
    <x:row r="25" ht="48" customHeight="1">
      <x:c r="A25" s="40" t="n">
        <x:v>24</x:v>
      </x:c>
      <x:c r="B25" s="43" t="str">
        <x:v>svenstaro/miniserve</x:v>
      </x:c>
      <x:c r="C25" s="43" t="str">
        <x:v>データ・自動化</x:v>
      </x:c>
      <x:c r="D25" s="49" t="n">
        <x:v>7741</x:v>
      </x:c>
      <x:c r="E25" s="49" t="n">
        <x:v>387</x:v>
      </x:c>
      <x:c r="F25" s="49" t="n">
        <x:f>D25/MAX(1,(DATE(2026,7,28)-G25)/365.25)</x:f>
        <x:v>937.7778606965175</x:v>
      </x:c>
      <x:c r="G25" s="46" t="n">
        <x:v>43216</x:v>
      </x:c>
      <x:c r="H25" s="46" t="n">
        <x:v>46204</x:v>
      </x:c>
      <x:c r="I25" s="37" t="str">
        <x:v>Rust</x:v>
      </x:c>
      <x:c r="J25" s="37" t="str">
        <x:v>MIT</x:v>
      </x:c>
      <x:c r="K25" s="52" t="n">
        <x:v>54</x:v>
      </x:c>
      <x:c r="L25" s="46" t="n">
        <x:v>46120</x:v>
      </x:c>
      <x:c r="M25" s="37" t="str">
        <x:v>Active</x:v>
      </x:c>
      <x:c r="N25" s="37" t="str">
        <x:v>No</x:v>
      </x:c>
      <x:c r="O25" s="52" t="n">
        <x:v>78</x:v>
      </x:c>
      <x:c r="P25" s="52" t="n">
        <x:v>8</x:v>
      </x:c>
      <x:c r="Q25" s="52" t="n">
        <x:v>2813</x:v>
      </x:c>
      <x:c r="R25" s="52" t="n">
        <x:v>10</x:v>
      </x:c>
      <x:c r="S25" s="37" t="str">
        <x:v>Yes</x:v>
      </x:c>
      <x:c r="T25" s="37" t="str">
        <x:v>Yes</x:v>
      </x:c>
      <x:c r="U25" s="37" t="str">
        <x:v>Yes</x:v>
      </x:c>
      <x:c r="V25" s="37" t="str">
        <x:v>Yes</x:v>
      </x:c>
      <x:c r="W25" s="37" t="str">
        <x:v>No</x:v>
      </x:c>
      <x:c r="X25" s="37" t="str">
        <x:v>No</x:v>
      </x:c>
      <x:c r="Y25" s="37" t="str">
        <x:v>No</x:v>
      </x:c>
      <x:c r="Z25" s="55" t="n">
        <x:v>5</x:v>
      </x:c>
      <x:c r="AA25" s="55" t="n">
        <x:v>2</x:v>
      </x:c>
      <x:c r="AB25" s="37" t="str">
        <x:v>今すぐ使える約束＋例題集</x:v>
      </x:c>
      <x:c r="AC25" s="37" t="str">
        <x:v>価値を30秒で試せるコマンドと、用途別レシピを並べる。</x:v>
      </x:c>
      <x:c r="AD25" s="37" t="str">
        <x:v>インストールなしのサンプル出力と最小実行例をREADME上部に置く。</x:v>
      </x:c>
      <x:c r="AE25" s="37" t="str">
        <x:v>便利機能追加でセキュリティ面と設定面が拡大しやすい。</x:v>
      </x:c>
      <x:c r="AF25" s="37" t="str">
        <x:v>https://github.com/svenstaro/miniserve</x:v>
      </x:c>
    </x:row>
    <x:row r="26" ht="48" customHeight="1">
      <x:c r="A26" s="40" t="n">
        <x:v>25</x:v>
      </x:c>
      <x:c r="B26" s="43" t="str">
        <x:v>dalance/procs</x:v>
      </x:c>
      <x:c r="C26" s="43" t="str">
        <x:v>システム診断</x:v>
      </x:c>
      <x:c r="D26" s="49" t="n">
        <x:v>6112</x:v>
      </x:c>
      <x:c r="E26" s="49" t="n">
        <x:v>148</x:v>
      </x:c>
      <x:c r="F26" s="49" t="n">
        <x:f>D26/MAX(1,(DATE(2026,7,28)-G26)/365.25)</x:f>
        <x:v>815.3425858290723</x:v>
      </x:c>
      <x:c r="G26" s="46" t="n">
        <x:v>43493</x:v>
      </x:c>
      <x:c r="H26" s="46" t="n">
        <x:v>46225</x:v>
      </x:c>
      <x:c r="I26" s="37" t="str">
        <x:v>Rust</x:v>
      </x:c>
      <x:c r="J26" s="37" t="str">
        <x:v>MIT</x:v>
      </x:c>
      <x:c r="K26" s="52" t="n">
        <x:v>111</x:v>
      </x:c>
      <x:c r="L26" s="46" t="n">
        <x:v>46198</x:v>
      </x:c>
      <x:c r="M26" s="37" t="str">
        <x:v>Active</x:v>
      </x:c>
      <x:c r="N26" s="37" t="str">
        <x:v>No</x:v>
      </x:c>
      <x:c r="O26" s="52" t="n">
        <x:v>27</x:v>
      </x:c>
      <x:c r="P26" s="52" t="n">
        <x:v>5</x:v>
      </x:c>
      <x:c r="Q26" s="52" t="n">
        <x:v>3249</x:v>
      </x:c>
      <x:c r="R26" s="52" t="n">
        <x:v>12</x:v>
      </x:c>
      <x:c r="S26" s="37" t="str">
        <x:v>Yes</x:v>
      </x:c>
      <x:c r="T26" s="37" t="str">
        <x:v>Yes</x:v>
      </x:c>
      <x:c r="U26" s="37" t="str">
        <x:v>Yes</x:v>
      </x:c>
      <x:c r="V26" s="37" t="str">
        <x:v>No</x:v>
      </x:c>
      <x:c r="W26" s="37" t="str">
        <x:v>No</x:v>
      </x:c>
      <x:c r="X26" s="37" t="str">
        <x:v>No</x:v>
      </x:c>
      <x:c r="Y26" s="37" t="str">
        <x:v>No</x:v>
      </x:c>
      <x:c r="Z26" s="55" t="n">
        <x:v>7</x:v>
      </x:c>
      <x:c r="AA26" s="55" t="n">
        <x:v>5</x:v>
      </x:c>
      <x:c r="AB26" s="37" t="str">
        <x:v>現代的置換＋Platform表</x:v>
      </x:c>
      <x:c r="AC26" s="37" t="str">
        <x:v>OSごとの機能差を表にし、利用者の期待を事前に調整。</x:v>
      </x:c>
      <x:c r="AD26" s="37" t="str">
        <x:v>各probeがWindows Native／WSLで利用可能かをマトリクス化する。</x:v>
      </x:c>
      <x:c r="AE26" s="37" t="str">
        <x:v>OS API差で同名項目の意味がずれないよう証拠を残す。</x:v>
      </x:c>
      <x:c r="AF26" s="37" t="str">
        <x:v>https://github.com/dalance/procs</x:v>
      </x:c>
    </x:row>
    <x:row r="27" ht="48" customHeight="1">
      <x:c r="A27" s="40" t="n">
        <x:v>26</x:v>
      </x:c>
      <x:c r="B27" s="43" t="str">
        <x:v>Byron/dua-cli</x:v>
      </x:c>
      <x:c r="C27" s="43" t="str">
        <x:v>システム診断</x:v>
      </x:c>
      <x:c r="D27" s="49" t="n">
        <x:v>6065</x:v>
      </x:c>
      <x:c r="E27" s="49" t="n">
        <x:v>162</x:v>
      </x:c>
      <x:c r="F27" s="49" t="n">
        <x:f>D27/MAX(1,(DATE(2026,7,28)-G27)/365.25)</x:f>
        <x:v>846.4811807413068</x:v>
      </x:c>
      <x:c r="G27" s="46" t="n">
        <x:v>43614</x:v>
      </x:c>
      <x:c r="H27" s="46" t="n">
        <x:v>46231</x:v>
      </x:c>
      <x:c r="I27" s="37" t="str">
        <x:v>Rust</x:v>
      </x:c>
      <x:c r="J27" s="37" t="str">
        <x:v>MIT</x:v>
      </x:c>
      <x:c r="K27" s="52" t="n">
        <x:v>98</x:v>
      </x:c>
      <x:c r="L27" s="46" t="n">
        <x:v>46231</x:v>
      </x:c>
      <x:c r="M27" s="37" t="str">
        <x:v>Active</x:v>
      </x:c>
      <x:c r="N27" s="37" t="str">
        <x:v>No</x:v>
      </x:c>
      <x:c r="O27" s="52" t="n">
        <x:v>33</x:v>
      </x:c>
      <x:c r="P27" s="52" t="n">
        <x:v>0</x:v>
      </x:c>
      <x:c r="Q27" s="52" t="n">
        <x:v>1169</x:v>
      </x:c>
      <x:c r="R27" s="52" t="n">
        <x:v>4</x:v>
      </x:c>
      <x:c r="S27" s="37" t="str">
        <x:v>Yes</x:v>
      </x:c>
      <x:c r="T27" s="37" t="str">
        <x:v>Yes</x:v>
      </x:c>
      <x:c r="U27" s="37" t="str">
        <x:v>Yes</x:v>
      </x:c>
      <x:c r="V27" s="37" t="str">
        <x:v>No</x:v>
      </x:c>
      <x:c r="W27" s="37" t="str">
        <x:v>No</x:v>
      </x:c>
      <x:c r="X27" s="37" t="str">
        <x:v>No</x:v>
      </x:c>
      <x:c r="Y27" s="37" t="str">
        <x:v>No</x:v>
      </x:c>
      <x:c r="Z27" s="55" t="n">
        <x:v>6</x:v>
      </x:c>
      <x:c r="AA27" s="55" t="n">
        <x:v>4</x:v>
      </x:c>
      <x:c r="AB27" s="37" t="str">
        <x:v>非対話＋対話モード</x:v>
      </x:c>
      <x:c r="AC27" s="37" t="str">
        <x:v>スクリプト向け高速モードと、人向け探索モードを分離。</x:v>
      </x:c>
      <x:c r="AD27" s="37" t="str">
        <x:v>既定terminal出力、--json、将来の対話exploreを独立させる。</x:v>
      </x:c>
      <x:c r="AE27" s="37" t="str">
        <x:v>削除等の変更機能を持つ場合は安全設計が別次元になる。</x:v>
      </x:c>
      <x:c r="AF27" s="37" t="str">
        <x:v>https://github.com/Byron/dua-cli</x:v>
      </x:c>
    </x:row>
    <x:row r="28" ht="48" customHeight="1">
      <x:c r="A28" s="40" t="n">
        <x:v>27</x:v>
      </x:c>
      <x:c r="B28" s="43" t="str">
        <x:v>gerardog/gsudo</x:v>
      </x:c>
      <x:c r="C28" s="43" t="str">
        <x:v>Windows・WSL</x:v>
      </x:c>
      <x:c r="D28" s="49" t="n">
        <x:v>6010</x:v>
      </x:c>
      <x:c r="E28" s="49" t="n">
        <x:v>163</x:v>
      </x:c>
      <x:c r="F28" s="49" t="n">
        <x:f>D28/MAX(1,(DATE(2026,7,28)-G28)/365.25)</x:f>
        <x:v>894.1558044806518</x:v>
      </x:c>
      <x:c r="G28" s="46" t="n">
        <x:v>43776</x:v>
      </x:c>
      <x:c r="H28" s="46" t="n">
        <x:v>46230</x:v>
      </x:c>
      <x:c r="I28" s="37" t="str">
        <x:v>C#</x:v>
      </x:c>
      <x:c r="J28" s="37" t="str">
        <x:v>MIT</x:v>
      </x:c>
      <x:c r="K28" s="52" t="n">
        <x:v>54</x:v>
      </x:c>
      <x:c r="L28" s="46" t="n">
        <x:v>45936</x:v>
      </x:c>
      <x:c r="M28" s="37" t="str">
        <x:v>Active</x:v>
      </x:c>
      <x:c r="N28" s="37" t="str">
        <x:v>No</x:v>
      </x:c>
      <x:c r="O28" s="52" t="n">
        <x:v>31</x:v>
      </x:c>
      <x:c r="P28" s="52" t="n">
        <x:v>15</x:v>
      </x:c>
      <x:c r="Q28" s="52" t="n">
        <x:v>2323</x:v>
      </x:c>
      <x:c r="R28" s="52" t="n">
        <x:v>6</x:v>
      </x:c>
      <x:c r="S28" s="37" t="str">
        <x:v>Yes</x:v>
      </x:c>
      <x:c r="T28" s="37" t="str">
        <x:v>Yes</x:v>
      </x:c>
      <x:c r="U28" s="37" t="str">
        <x:v>Yes</x:v>
      </x:c>
      <x:c r="V28" s="37" t="str">
        <x:v>No</x:v>
      </x:c>
      <x:c r="W28" s="37" t="str">
        <x:v>No</x:v>
      </x:c>
      <x:c r="X28" s="37" t="str">
        <x:v>No</x:v>
      </x:c>
      <x:c r="Y28" s="37" t="str">
        <x:v>Yes</x:v>
      </x:c>
      <x:c r="Z28" s="55" t="n">
        <x:v>3</x:v>
      </x:c>
      <x:c r="AA28" s="55" t="n">
        <x:v>5</x:v>
      </x:c>
      <x:c r="AB28" s="37" t="str">
        <x:v>Windows専用の明快な名前＋WSLレシピ</x:v>
      </x:c>
      <x:c r="AC28" s="37" t="str">
        <x:v>Windowsを第一級に扱い、WSLからの実用例まで書くことで信頼を得る。</x:v>
      </x:c>
      <x:c r="AD28" s="37" t="str">
        <x:v>Windows／WSLを主役にしたREADMEと、境界をまたぐ実例を用意する。</x:v>
      </x:c>
      <x:c r="AE28" s="37" t="str">
        <x:v>権限昇格を扱う製品は非常に高いセキュリティ信頼が必要。</x:v>
      </x:c>
      <x:c r="AF28" s="37" t="str">
        <x:v>https://github.com/gerardog/gsudo</x:v>
      </x:c>
    </x:row>
    <x:row r="29" ht="48" customHeight="1">
      <x:c r="A29" s="40" t="n">
        <x:v>28</x:v>
      </x:c>
      <x:c r="B29" s="43" t="str">
        <x:v>PaulJuliusMartinez/jless</x:v>
      </x:c>
      <x:c r="C29" s="43" t="str">
        <x:v>診断・表示</x:v>
      </x:c>
      <x:c r="D29" s="49" t="n">
        <x:v>5446</x:v>
      </x:c>
      <x:c r="E29" s="49" t="n">
        <x:v>118</x:v>
      </x:c>
      <x:c r="F29" s="49" t="n">
        <x:f>D29/MAX(1,(DATE(2026,7,28)-G29)/365.25)</x:f>
        <x:v>1035.477095262884</x:v>
      </x:c>
      <x:c r="G29" s="46" t="n">
        <x:v>44310</x:v>
      </x:c>
      <x:c r="H29" s="46" t="n">
        <x:v>46210</x:v>
      </x:c>
      <x:c r="I29" s="37" t="str">
        <x:v>Rust</x:v>
      </x:c>
      <x:c r="J29" s="37" t="str">
        <x:v>MIT</x:v>
      </x:c>
      <x:c r="K29" s="52" t="n">
        <x:v>5</x:v>
      </x:c>
      <x:c r="L29" s="46" t="n">
        <x:v>45124</x:v>
      </x:c>
      <x:c r="M29" s="37" t="str">
        <x:v>Active</x:v>
      </x:c>
      <x:c r="N29" s="37" t="str">
        <x:v>No</x:v>
      </x:c>
      <x:c r="O29" s="52" t="n">
        <x:v>75</x:v>
      </x:c>
      <x:c r="P29" s="52" t="n">
        <x:v>19</x:v>
      </x:c>
      <x:c r="Q29" s="52" t="n">
        <x:v>399</x:v>
      </x:c>
      <x:c r="R29" s="52" t="n">
        <x:v>3</x:v>
      </x:c>
      <x:c r="S29" s="37" t="str">
        <x:v>No</x:v>
      </x:c>
      <x:c r="T29" s="37" t="str">
        <x:v>Yes</x:v>
      </x:c>
      <x:c r="U29" s="37" t="str">
        <x:v>No</x:v>
      </x:c>
      <x:c r="V29" s="37" t="str">
        <x:v>No</x:v>
      </x:c>
      <x:c r="W29" s="37" t="str">
        <x:v>No</x:v>
      </x:c>
      <x:c r="X29" s="37" t="str">
        <x:v>No</x:v>
      </x:c>
      <x:c r="Y29" s="37" t="str">
        <x:v>No</x:v>
      </x:c>
      <x:c r="Z29" s="55" t="n">
        <x:v>4</x:v>
      </x:c>
      <x:c r="AA29" s="55" t="n">
        <x:v>3</x:v>
      </x:c>
      <x:c r="AB29" s="37" t="str">
        <x:v>狭い用途＋専用サイト／ロゴ</x:v>
      </x:c>
      <x:c r="AC29" s="37" t="str">
        <x:v>JSONを読むという単一行為に焦点を合わせ、ブランドを作る。</x:v>
      </x:c>
      <x:c r="AD29" s="37" t="str">
        <x:v>--jsonを補助機能でなく、診断証拠を扱う主要契約として設計する。</x:v>
      </x:c>
      <x:c r="AE29" s="37" t="str">
        <x:v>リリース頻度とREADME情報が少ないと成熟度を判断しにくい。</x:v>
      </x:c>
      <x:c r="AF29" s="37" t="str">
        <x:v>https://github.com/PaulJuliusMartinez/jless</x:v>
      </x:c>
    </x:row>
    <x:row r="30" ht="48" customHeight="1">
      <x:c r="A30" s="40" t="n">
        <x:v>29</x:v>
      </x:c>
      <x:c r="B30" s="43" t="str">
        <x:v>orhun/binsider</x:v>
      </x:c>
      <x:c r="C30" s="43" t="str">
        <x:v>実行ファイル解析</x:v>
      </x:c>
      <x:c r="D30" s="49" t="n">
        <x:v>4358</x:v>
      </x:c>
      <x:c r="E30" s="49" t="n">
        <x:v>107</x:v>
      </x:c>
      <x:c r="F30" s="49" t="n">
        <x:f>D30/MAX(1,(DATE(2026,7,28)-G30)/365.25)</x:f>
        <x:v>1475.2173308619092</x:v>
      </x:c>
      <x:c r="G30" s="46" t="n">
        <x:v>45152</x:v>
      </x:c>
      <x:c r="H30" s="46" t="n">
        <x:v>46229</x:v>
      </x:c>
      <x:c r="I30" s="37" t="str">
        <x:v>Rust</x:v>
      </x:c>
      <x:c r="J30" s="37" t="str">
        <x:v>Apache-2.0</x:v>
      </x:c>
      <x:c r="K30" s="52" t="n">
        <x:v>7</x:v>
      </x:c>
      <x:c r="L30" s="46" t="n">
        <x:v>46054</x:v>
      </x:c>
      <x:c r="M30" s="37" t="str">
        <x:v>Active</x:v>
      </x:c>
      <x:c r="N30" s="37" t="str">
        <x:v>No</x:v>
      </x:c>
      <x:c r="O30" s="52" t="n">
        <x:v>26</x:v>
      </x:c>
      <x:c r="P30" s="52" t="n">
        <x:v>9</x:v>
      </x:c>
      <x:c r="Q30" s="52" t="n">
        <x:v>791</x:v>
      </x:c>
      <x:c r="R30" s="52" t="n">
        <x:v>18</x:v>
      </x:c>
      <x:c r="S30" s="37" t="str">
        <x:v>Yes</x:v>
      </x:c>
      <x:c r="T30" s="37" t="str">
        <x:v>No</x:v>
      </x:c>
      <x:c r="U30" s="37" t="str">
        <x:v>Yes</x:v>
      </x:c>
      <x:c r="V30" s="37" t="str">
        <x:v>No</x:v>
      </x:c>
      <x:c r="W30" s="37" t="str">
        <x:v>No</x:v>
      </x:c>
      <x:c r="X30" s="37" t="str">
        <x:v>Yes</x:v>
      </x:c>
      <x:c r="Y30" s="37" t="str">
        <x:v>No</x:v>
      </x:c>
      <x:c r="Z30" s="55" t="n">
        <x:v>1</x:v>
      </x:c>
      <x:c r="AA30" s="55" t="n">
        <x:v>5</x:v>
      </x:c>
      <x:c r="AB30" s="37" t="str">
        <x:v>記憶に残るブランド＋解析の段階分け</x:v>
      </x:c>
      <x:c r="AC30" s="37" t="str">
        <x:v>静的／動的解析を分け、専門的情報を視覚的に提示。</x:v>
      </x:c>
      <x:c r="AD30" s="37" t="str">
        <x:v>実行ファイルのformat、origin、解決順、根拠を段階的に表示する。</x:v>
      </x:c>
      <x:c r="AE30" s="37" t="str">
        <x:v>ELF中心の設計をそのままWindowsへ一般化しない。</x:v>
      </x:c>
      <x:c r="AF30" s="37" t="str">
        <x:v>https://github.com/orhun/binsider</x:v>
      </x:c>
    </x:row>
    <x:row r="31" ht="48" customHeight="1">
      <x:c r="A31" s="41" t="n">
        <x:v>30</x:v>
      </x:c>
      <x:c r="B31" s="44" t="str">
        <x:v>jstarks/npiperelay</x:v>
      </x:c>
      <x:c r="C31" s="44" t="str">
        <x:v>Windows・WSL</x:v>
      </x:c>
      <x:c r="D31" s="50" t="n">
        <x:v>812</x:v>
      </x:c>
      <x:c r="E31" s="50" t="n">
        <x:v>84</x:v>
      </x:c>
      <x:c r="F31" s="50" t="n">
        <x:f>D31/MAX(1,(DATE(2026,7,28)-G31)/365.25)</x:f>
        <x:v>91.4250924784217</x:v>
      </x:c>
      <x:c r="G31" s="47" t="n">
        <x:v>42987</x:v>
      </x:c>
      <x:c r="H31" s="47" t="n">
        <x:v>45185</x:v>
      </x:c>
      <x:c r="I31" s="38" t="str">
        <x:v>Go</x:v>
      </x:c>
      <x:c r="J31" s="38" t="str">
        <x:v>MIT</x:v>
      </x:c>
      <x:c r="K31" s="53" t="n">
        <x:v>1</x:v>
      </x:c>
      <x:c r="L31" s="47" t="n">
        <x:v>44014</x:v>
      </x:c>
      <x:c r="M31" s="38" t="str">
        <x:v>Inactive</x:v>
      </x:c>
      <x:c r="N31" s="38" t="str">
        <x:v>No</x:v>
      </x:c>
      <x:c r="O31" s="53" t="n">
        <x:v>15</x:v>
      </x:c>
      <x:c r="P31" s="53" t="n">
        <x:v>8</x:v>
      </x:c>
      <x:c r="Q31" s="53" t="n">
        <x:v>1338</x:v>
      </x:c>
      <x:c r="R31" s="53" t="n">
        <x:v>0</x:v>
      </x:c>
      <x:c r="S31" s="38" t="str">
        <x:v>No</x:v>
      </x:c>
      <x:c r="T31" s="38" t="str">
        <x:v>Yes</x:v>
      </x:c>
      <x:c r="U31" s="38" t="str">
        <x:v>Yes</x:v>
      </x:c>
      <x:c r="V31" s="38" t="str">
        <x:v>No</x:v>
      </x:c>
      <x:c r="W31" s="38" t="str">
        <x:v>No</x:v>
      </x:c>
      <x:c r="X31" s="38" t="str">
        <x:v>No</x:v>
      </x:c>
      <x:c r="Y31" s="38" t="str">
        <x:v>No</x:v>
      </x:c>
      <x:c r="Z31" s="56" t="n">
        <x:v>2</x:v>
      </x:c>
      <x:c r="AA31" s="56" t="n">
        <x:v>5</x:v>
      </x:c>
      <x:c r="AB31" s="38" t="str">
        <x:v>極端に狭いWSL境界問題＋用途別レシピ</x:v>
      </x:c>
      <x:c r="AC31" s="38" t="str">
        <x:v>WindowsとWSLの境界には、小さくても明確な需要が存在する。</x:v>
      </x:c>
      <x:c r="AD31" s="38" t="str">
        <x:v>市場全体でなく『なぜ今この実行ファイル？』という具体的摩擦から入る。</x:v>
      </x:c>
      <x:c r="AE31" s="38" t="str">
        <x:v>更新停止・単一リリース。狭い需要だけでは継続成長が難しい。</x:v>
      </x:c>
      <x:c r="AF31" s="38" t="str">
        <x:v>https://github.com/jstarks/npiperelay</x:v>
      </x:c>
    </x:row>
  </x:sheetData>
  <x:conditionalFormatting sqref="D2:D31">
    <x:cfRule type="dataBar" priority="1">
      <x:dataBar>
        <x:cfvo type="min"/>
        <x:cfvo type="max"/>
        <x:color rgb="FF2563EB"/>
      </x:dataBar>
      <x:extLst>
        <x:ext xmlns:x14="http://schemas.microsoft.com/office/spreadsheetml/2009/9/main" uri="{B025F937-C7B1-47D3-B67F-A62EFF666E3E}">
          <x14:id>{FBD53CE6-9EB0-9C14-93FC-0880309E4331}</x14:id>
        </x:ext>
      </x:extLst>
    </x:cfRule>
  </x:conditionalFormatting>
  <x:conditionalFormatting sqref="AA2:AA31">
    <x:cfRule type="colorScale" priority="2">
      <x:colorScale>
        <x:cfvo type="num" val="1"/>
        <x:cfvo type="num" val="3"/>
        <x:cfvo type="num" val="5"/>
        <x:color rgb="FFFEE2E2"/>
        <x:color rgb="FFFEF3C7"/>
        <x:color rgb="FFDCFCE7"/>
      </x:colorScale>
    </x:cfRule>
  </x:conditionalFormatting>
  <x:conditionalFormatting sqref="M2:M31">
    <x:cfRule type="containsText" dxfId="0" priority="3" operator="containsText" text="Archived"/>
    <x:cfRule type="containsText" dxfId="1" priority="4" operator="containsText" text="Inactive"/>
  </x:conditionalFormatting>
  <x:pageMargins left="0.7" right="0.7" top="0.75" bottom="0.75" header="0.3" footer="0.3"/>
  <x:tableParts count="1">
    <x:tablePart xmlns:r="http://schemas.openxmlformats.org/officeDocument/2006/relationships" r:id="Rd3957e536d7449a8"/>
  </x:tableParts>
  <x:extLst>
    <x:ext xmlns:x14="http://schemas.microsoft.com/office/spreadsheetml/2009/9/main" xmlns:xm="http://schemas.microsoft.com/office/excel/2006/main" uri="{78C0D931-6437-407d-A8EE-F0AAD7539E65}">
      <x14:conditionalFormattings>
        <x14:conditionalFormatting>
          <x14:cfRule type="dataBar" priority="1" id="{FBD53CE6-9EB0-9C14-93FC-0880309E4331}">
            <x14:dataBar gradient="1">
              <x14:cfvo type="min"/>
              <x14:cfvo type="max"/>
              <x14:fillColor rgb="FF2563EB"/>
            </x14:dataBar>
          </x14:cfRule>
          <xm:sqref>D2:D31</xm:sqref>
        </x14:conditionalFormatting>
      </x14:conditionalFormattings>
    </x:ext>
  </x:extLst>
</x:worksheet>
</file>